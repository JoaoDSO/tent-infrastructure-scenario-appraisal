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lif Haidar\Downloads\"/>
    </mc:Choice>
  </mc:AlternateContent>
  <xr:revisionPtr revIDLastSave="0" documentId="13_ncr:1_{7CE2FCDB-1066-4D34-8071-DA7329607024}" xr6:coauthVersionLast="47" xr6:coauthVersionMax="47" xr10:uidLastSave="{00000000-0000-0000-0000-000000000000}"/>
  <bookViews>
    <workbookView xWindow="-108" yWindow="-108" windowWidth="23256" windowHeight="12456" firstSheet="12" activeTab="15" xr2:uid="{C3FD178F-A6E6-43AE-88A0-65FE0DE0E147}"/>
  </bookViews>
  <sheets>
    <sheet name="ELECTRE - Alif" sheetId="1" state="hidden" r:id="rId1"/>
    <sheet name="ELECTRE - Levente" sheetId="4" state="hidden" r:id="rId2"/>
    <sheet name="ELECTRE - Joao" sheetId="5" state="hidden" r:id="rId3"/>
    <sheet name="ELECTRE - Dante" sheetId="3" state="hidden" r:id="rId4"/>
    <sheet name="ELECTRE - Average" sheetId="6" r:id="rId5"/>
    <sheet name="Rank Key" sheetId="2" r:id="rId6"/>
    <sheet name="Electre csv" sheetId="7" r:id="rId7"/>
    <sheet name="Ranking csv" sheetId="8" r:id="rId8"/>
    <sheet name="Outranking Graph Result" sheetId="17" r:id="rId9"/>
    <sheet name="MCDA - AHP" sheetId="9" state="hidden" r:id="rId10"/>
    <sheet name="AHP Vs. REMBRANDT" sheetId="14" state="hidden" r:id="rId11"/>
    <sheet name="MCDA - Environment" sheetId="12" r:id="rId12"/>
    <sheet name="MCDA - Social" sheetId="10" r:id="rId13"/>
    <sheet name="MCDA - Economic" sheetId="11" r:id="rId14"/>
    <sheet name="MCDA - REMBRANDT" sheetId="13" r:id="rId15"/>
    <sheet name="REMBRANDT Sensitivity Analysis" sheetId="15"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3" i="15" l="1"/>
  <c r="E63" i="15"/>
  <c r="F63" i="15"/>
  <c r="G63" i="15"/>
  <c r="D64" i="15"/>
  <c r="E64" i="15"/>
  <c r="F64" i="15"/>
  <c r="G64" i="15"/>
  <c r="D65" i="15"/>
  <c r="E65" i="15"/>
  <c r="F65" i="15"/>
  <c r="G65" i="15"/>
  <c r="G62" i="15"/>
  <c r="F62" i="15"/>
  <c r="E62" i="15"/>
  <c r="D62" i="15"/>
  <c r="BC33" i="15"/>
  <c r="BC34" i="15"/>
  <c r="BC35" i="15"/>
  <c r="BC32" i="15"/>
  <c r="BC24" i="15"/>
  <c r="BC25" i="15"/>
  <c r="BC26" i="15"/>
  <c r="BC23" i="15"/>
  <c r="BC15" i="15"/>
  <c r="BC16" i="15"/>
  <c r="BC17" i="15"/>
  <c r="BC14" i="15"/>
  <c r="BC6" i="15"/>
  <c r="BC7" i="15"/>
  <c r="BC8" i="15"/>
  <c r="BC5" i="15"/>
  <c r="AZ33" i="15"/>
  <c r="AZ34" i="15"/>
  <c r="AZ35" i="15"/>
  <c r="AZ36" i="15"/>
  <c r="AZ37" i="15"/>
  <c r="AZ32" i="15"/>
  <c r="AZ24" i="15"/>
  <c r="AZ25" i="15"/>
  <c r="AZ26" i="15"/>
  <c r="AZ27" i="15"/>
  <c r="AZ28" i="15"/>
  <c r="AZ23" i="15"/>
  <c r="AZ15" i="15"/>
  <c r="AZ16" i="15"/>
  <c r="AZ17" i="15"/>
  <c r="AZ18" i="15"/>
  <c r="AZ19" i="15"/>
  <c r="AZ14" i="15"/>
  <c r="AZ6" i="15"/>
  <c r="AZ7" i="15"/>
  <c r="AZ8" i="15"/>
  <c r="AZ9" i="15"/>
  <c r="AZ10" i="15"/>
  <c r="AZ5" i="15"/>
  <c r="AY37" i="15"/>
  <c r="AY36" i="15"/>
  <c r="AY35" i="15"/>
  <c r="AY34" i="15"/>
  <c r="AY33" i="15"/>
  <c r="AY32" i="15"/>
  <c r="AY28" i="15"/>
  <c r="AY27" i="15"/>
  <c r="AY26" i="15"/>
  <c r="AY25" i="15"/>
  <c r="AY24" i="15"/>
  <c r="AY23" i="15"/>
  <c r="AY19" i="15"/>
  <c r="AY18" i="15"/>
  <c r="AY17" i="15"/>
  <c r="AY16" i="15"/>
  <c r="AY15" i="15"/>
  <c r="AY14" i="15"/>
  <c r="AS33" i="15"/>
  <c r="AT33" i="15"/>
  <c r="AU33" i="15"/>
  <c r="AV33" i="15"/>
  <c r="AW33" i="15"/>
  <c r="AX33" i="15"/>
  <c r="AS34" i="15"/>
  <c r="AT34" i="15"/>
  <c r="AU34" i="15"/>
  <c r="AV34" i="15"/>
  <c r="AW34" i="15"/>
  <c r="AX34" i="15"/>
  <c r="AS35" i="15"/>
  <c r="AT35" i="15"/>
  <c r="AU35" i="15"/>
  <c r="AV35" i="15"/>
  <c r="AW35" i="15"/>
  <c r="AX35" i="15"/>
  <c r="AS36" i="15"/>
  <c r="AT36" i="15"/>
  <c r="AU36" i="15"/>
  <c r="AV36" i="15"/>
  <c r="AW36" i="15"/>
  <c r="AX36" i="15"/>
  <c r="AS37" i="15"/>
  <c r="AT37" i="15"/>
  <c r="AU37" i="15"/>
  <c r="AV37" i="15"/>
  <c r="AW37" i="15"/>
  <c r="AX37" i="15"/>
  <c r="AT32" i="15"/>
  <c r="AU32" i="15"/>
  <c r="AV32" i="15"/>
  <c r="AW32" i="15"/>
  <c r="AX32" i="15"/>
  <c r="AS32" i="15"/>
  <c r="AS24" i="15"/>
  <c r="AT24" i="15"/>
  <c r="AU24" i="15"/>
  <c r="AV24" i="15"/>
  <c r="AW24" i="15"/>
  <c r="AX24" i="15"/>
  <c r="AS25" i="15"/>
  <c r="AT25" i="15"/>
  <c r="AU25" i="15"/>
  <c r="AV25" i="15"/>
  <c r="AW25" i="15"/>
  <c r="AX25" i="15"/>
  <c r="AS26" i="15"/>
  <c r="AT26" i="15"/>
  <c r="AU26" i="15"/>
  <c r="AV26" i="15"/>
  <c r="AW26" i="15"/>
  <c r="AX26" i="15"/>
  <c r="AS27" i="15"/>
  <c r="AT27" i="15"/>
  <c r="AU27" i="15"/>
  <c r="AV27" i="15"/>
  <c r="AW27" i="15"/>
  <c r="AX27" i="15"/>
  <c r="AS28" i="15"/>
  <c r="AT28" i="15"/>
  <c r="AU28" i="15"/>
  <c r="AV28" i="15"/>
  <c r="AW28" i="15"/>
  <c r="AX28" i="15"/>
  <c r="AT23" i="15"/>
  <c r="AU23" i="15"/>
  <c r="AV23" i="15"/>
  <c r="AW23" i="15"/>
  <c r="AX23" i="15"/>
  <c r="AS23" i="15"/>
  <c r="AS15" i="15"/>
  <c r="AT15" i="15"/>
  <c r="AU15" i="15"/>
  <c r="AV15" i="15"/>
  <c r="AW15" i="15"/>
  <c r="AX15" i="15"/>
  <c r="AS16" i="15"/>
  <c r="AT16" i="15"/>
  <c r="AU16" i="15"/>
  <c r="AV16" i="15"/>
  <c r="AW16" i="15"/>
  <c r="AX16" i="15"/>
  <c r="AS17" i="15"/>
  <c r="AT17" i="15"/>
  <c r="AU17" i="15"/>
  <c r="AV17" i="15"/>
  <c r="AW17" i="15"/>
  <c r="AX17" i="15"/>
  <c r="AS18" i="15"/>
  <c r="AT18" i="15"/>
  <c r="AU18" i="15"/>
  <c r="AV18" i="15"/>
  <c r="AW18" i="15"/>
  <c r="AX18" i="15"/>
  <c r="AS19" i="15"/>
  <c r="AT19" i="15"/>
  <c r="AU19" i="15"/>
  <c r="AV19" i="15"/>
  <c r="AW19" i="15"/>
  <c r="AX19" i="15"/>
  <c r="AT14" i="15"/>
  <c r="AU14" i="15"/>
  <c r="AV14" i="15"/>
  <c r="AW14" i="15"/>
  <c r="AX14" i="15"/>
  <c r="AS14" i="15"/>
  <c r="AX10" i="15"/>
  <c r="AW10" i="15"/>
  <c r="AV10" i="15"/>
  <c r="AU10" i="15"/>
  <c r="AT10" i="15"/>
  <c r="AS10" i="15"/>
  <c r="AY10" i="15" s="1"/>
  <c r="AX9" i="15"/>
  <c r="AW9" i="15"/>
  <c r="AV9" i="15"/>
  <c r="AU9" i="15"/>
  <c r="AY9" i="15" s="1"/>
  <c r="AT9" i="15"/>
  <c r="AS9" i="15"/>
  <c r="AX8" i="15"/>
  <c r="AW8" i="15"/>
  <c r="AV8" i="15"/>
  <c r="AU8" i="15"/>
  <c r="AT8" i="15"/>
  <c r="AS8" i="15"/>
  <c r="AY8" i="15" s="1"/>
  <c r="AX7" i="15"/>
  <c r="AW7" i="15"/>
  <c r="AY7" i="15" s="1"/>
  <c r="AV7" i="15"/>
  <c r="AU7" i="15"/>
  <c r="AT7" i="15"/>
  <c r="AS7" i="15"/>
  <c r="AX6" i="15"/>
  <c r="AW6" i="15"/>
  <c r="AV6" i="15"/>
  <c r="AU6" i="15"/>
  <c r="AT6" i="15"/>
  <c r="AS6" i="15"/>
  <c r="AY6" i="15" s="1"/>
  <c r="AY5" i="15"/>
  <c r="AX5" i="15"/>
  <c r="AW5" i="15"/>
  <c r="AV5" i="15"/>
  <c r="AU5" i="15"/>
  <c r="AT5" i="15"/>
  <c r="AS5" i="15"/>
  <c r="AM6" i="15"/>
  <c r="AN6" i="15"/>
  <c r="AO6" i="15"/>
  <c r="AP6" i="15"/>
  <c r="AQ6" i="15"/>
  <c r="AR6" i="15"/>
  <c r="AM7" i="15"/>
  <c r="AN7" i="15"/>
  <c r="AO7" i="15"/>
  <c r="AP7" i="15"/>
  <c r="AQ7" i="15"/>
  <c r="AR7" i="15"/>
  <c r="AM8" i="15"/>
  <c r="AN8" i="15"/>
  <c r="AO8" i="15"/>
  <c r="AP8" i="15"/>
  <c r="AQ8" i="15"/>
  <c r="AR8" i="15"/>
  <c r="AM9" i="15"/>
  <c r="AN9" i="15"/>
  <c r="AO9" i="15"/>
  <c r="AP9" i="15"/>
  <c r="AQ9" i="15"/>
  <c r="AR9" i="15"/>
  <c r="AM10" i="15"/>
  <c r="AN10" i="15"/>
  <c r="AO10" i="15"/>
  <c r="AP10" i="15"/>
  <c r="AQ10" i="15"/>
  <c r="AR10" i="15"/>
  <c r="AN5" i="15"/>
  <c r="AO5" i="15"/>
  <c r="AP5" i="15"/>
  <c r="AQ5" i="15"/>
  <c r="AR5" i="15"/>
  <c r="AM5" i="15"/>
  <c r="G42" i="15"/>
  <c r="G43" i="15"/>
  <c r="G44" i="15"/>
  <c r="G41" i="15"/>
  <c r="F42" i="15"/>
  <c r="F43" i="15"/>
  <c r="F44" i="15"/>
  <c r="F41" i="15"/>
  <c r="E42" i="15"/>
  <c r="E43" i="15"/>
  <c r="E44" i="15"/>
  <c r="E41" i="15"/>
  <c r="D42" i="15"/>
  <c r="D43" i="15"/>
  <c r="D44" i="15"/>
  <c r="D41" i="15"/>
  <c r="U5" i="15"/>
  <c r="U6" i="15"/>
  <c r="U7" i="15"/>
  <c r="U8" i="15"/>
  <c r="U11" i="15"/>
  <c r="U12" i="15"/>
  <c r="U13" i="15"/>
  <c r="U14" i="15"/>
  <c r="U17" i="15"/>
  <c r="U18" i="15"/>
  <c r="U19" i="15"/>
  <c r="U20" i="15"/>
  <c r="U23" i="15"/>
  <c r="U24" i="15"/>
  <c r="U25" i="15"/>
  <c r="U26" i="15"/>
  <c r="AE36" i="15"/>
  <c r="AF36" i="15"/>
  <c r="AG36" i="15"/>
  <c r="AH36" i="15"/>
  <c r="AE37" i="15"/>
  <c r="AI37" i="15" s="1"/>
  <c r="AF37" i="15"/>
  <c r="AG37" i="15"/>
  <c r="AH37" i="15"/>
  <c r="AE38" i="15"/>
  <c r="AI38" i="15" s="1"/>
  <c r="AF38" i="15"/>
  <c r="AG38" i="15"/>
  <c r="AH38" i="15"/>
  <c r="AF35" i="15"/>
  <c r="AG35" i="15"/>
  <c r="AH35" i="15"/>
  <c r="AE35" i="15"/>
  <c r="AE30" i="15"/>
  <c r="AF30" i="15"/>
  <c r="AG30" i="15"/>
  <c r="AH30" i="15"/>
  <c r="AE31" i="15"/>
  <c r="AI31" i="15" s="1"/>
  <c r="AF31" i="15"/>
  <c r="AG31" i="15"/>
  <c r="AH31" i="15"/>
  <c r="AE32" i="15"/>
  <c r="AI32" i="15" s="1"/>
  <c r="AF32" i="15"/>
  <c r="AG32" i="15"/>
  <c r="AH32" i="15"/>
  <c r="AF29" i="15"/>
  <c r="AG29" i="15"/>
  <c r="AH29" i="15"/>
  <c r="AE29" i="15"/>
  <c r="AE24" i="15"/>
  <c r="AF24" i="15"/>
  <c r="AG24" i="15"/>
  <c r="AH24" i="15"/>
  <c r="AE25" i="15"/>
  <c r="AI25" i="15" s="1"/>
  <c r="AF25" i="15"/>
  <c r="AG25" i="15"/>
  <c r="AH25" i="15"/>
  <c r="AE26" i="15"/>
  <c r="AI26" i="15" s="1"/>
  <c r="AF26" i="15"/>
  <c r="AG26" i="15"/>
  <c r="AH26" i="15"/>
  <c r="AF23" i="15"/>
  <c r="AG23" i="15"/>
  <c r="AH23" i="15"/>
  <c r="AE23" i="15"/>
  <c r="AE18" i="15"/>
  <c r="AF18" i="15"/>
  <c r="AG18" i="15"/>
  <c r="AH18" i="15"/>
  <c r="AE19" i="15"/>
  <c r="AF19" i="15"/>
  <c r="AI19" i="15" s="1"/>
  <c r="AG19" i="15"/>
  <c r="AH19" i="15"/>
  <c r="AE20" i="15"/>
  <c r="AI20" i="15" s="1"/>
  <c r="AF20" i="15"/>
  <c r="AG20" i="15"/>
  <c r="AH20" i="15"/>
  <c r="AF17" i="15"/>
  <c r="AG17" i="15"/>
  <c r="AH17" i="15"/>
  <c r="AE17" i="15"/>
  <c r="AI17" i="15" s="1"/>
  <c r="AE12" i="15"/>
  <c r="AF12" i="15"/>
  <c r="AG12" i="15"/>
  <c r="AH12" i="15"/>
  <c r="AE13" i="15"/>
  <c r="AI13" i="15" s="1"/>
  <c r="AF13" i="15"/>
  <c r="AG13" i="15"/>
  <c r="AH13" i="15"/>
  <c r="AE14" i="15"/>
  <c r="AI14" i="15" s="1"/>
  <c r="AF14" i="15"/>
  <c r="AG14" i="15"/>
  <c r="AH14" i="15"/>
  <c r="AF11" i="15"/>
  <c r="AG11" i="15"/>
  <c r="AH11" i="15"/>
  <c r="AI11" i="15" s="1"/>
  <c r="AE11" i="15"/>
  <c r="AE6" i="15"/>
  <c r="AF6" i="15"/>
  <c r="AG6" i="15"/>
  <c r="AH6" i="15"/>
  <c r="AE7" i="15"/>
  <c r="AI7" i="15" s="1"/>
  <c r="AF7" i="15"/>
  <c r="AG7" i="15"/>
  <c r="AH7" i="15"/>
  <c r="AE8" i="15"/>
  <c r="AI8" i="15" s="1"/>
  <c r="AF8" i="15"/>
  <c r="AG8" i="15"/>
  <c r="AH8" i="15"/>
  <c r="AF5" i="15"/>
  <c r="AG5" i="15"/>
  <c r="AH5" i="15"/>
  <c r="AE5" i="15"/>
  <c r="AI36" i="15"/>
  <c r="AI35" i="15"/>
  <c r="AI30" i="15"/>
  <c r="AI29" i="15"/>
  <c r="AI24" i="15"/>
  <c r="AI18" i="15"/>
  <c r="AI12" i="15"/>
  <c r="AI6" i="15"/>
  <c r="X36" i="15"/>
  <c r="Y36" i="15"/>
  <c r="AB36" i="15" s="1"/>
  <c r="Z36" i="15"/>
  <c r="AA36" i="15"/>
  <c r="X37" i="15"/>
  <c r="Y37" i="15"/>
  <c r="AB37" i="15" s="1"/>
  <c r="Z37" i="15"/>
  <c r="AA37" i="15"/>
  <c r="X38" i="15"/>
  <c r="AB38" i="15" s="1"/>
  <c r="Y38" i="15"/>
  <c r="Z38" i="15"/>
  <c r="AA38" i="15"/>
  <c r="Y35" i="15"/>
  <c r="Z35" i="15"/>
  <c r="AA35" i="15"/>
  <c r="X35" i="15"/>
  <c r="X30" i="15"/>
  <c r="Y30" i="15"/>
  <c r="Z30" i="15"/>
  <c r="AA30" i="15"/>
  <c r="X31" i="15"/>
  <c r="AB31" i="15" s="1"/>
  <c r="Y31" i="15"/>
  <c r="Z31" i="15"/>
  <c r="AA31" i="15"/>
  <c r="X32" i="15"/>
  <c r="AB32" i="15" s="1"/>
  <c r="Y32" i="15"/>
  <c r="Z32" i="15"/>
  <c r="AA32" i="15"/>
  <c r="Y29" i="15"/>
  <c r="Z29" i="15"/>
  <c r="AA29" i="15"/>
  <c r="X29" i="15"/>
  <c r="X24" i="15"/>
  <c r="Y24" i="15"/>
  <c r="Z24" i="15"/>
  <c r="AA24" i="15"/>
  <c r="X25" i="15"/>
  <c r="AB25" i="15" s="1"/>
  <c r="Y25" i="15"/>
  <c r="Z25" i="15"/>
  <c r="AA25" i="15"/>
  <c r="X26" i="15"/>
  <c r="AB26" i="15" s="1"/>
  <c r="Y26" i="15"/>
  <c r="Z26" i="15"/>
  <c r="AA26" i="15"/>
  <c r="Y23" i="15"/>
  <c r="Z23" i="15"/>
  <c r="AA23" i="15"/>
  <c r="X23" i="15"/>
  <c r="X18" i="15"/>
  <c r="Y18" i="15"/>
  <c r="Z18" i="15"/>
  <c r="AA18" i="15"/>
  <c r="X19" i="15"/>
  <c r="AB19" i="15" s="1"/>
  <c r="Y19" i="15"/>
  <c r="Z19" i="15"/>
  <c r="AA19" i="15"/>
  <c r="X20" i="15"/>
  <c r="AB20" i="15" s="1"/>
  <c r="Y20" i="15"/>
  <c r="Z20" i="15"/>
  <c r="AA20" i="15"/>
  <c r="Y17" i="15"/>
  <c r="Z17" i="15"/>
  <c r="AA17" i="15"/>
  <c r="X17" i="15"/>
  <c r="X12" i="15"/>
  <c r="Y12" i="15"/>
  <c r="Z12" i="15"/>
  <c r="AA12" i="15"/>
  <c r="X13" i="15"/>
  <c r="AB13" i="15" s="1"/>
  <c r="Y13" i="15"/>
  <c r="Z13" i="15"/>
  <c r="AA13" i="15"/>
  <c r="X14" i="15"/>
  <c r="AB14" i="15" s="1"/>
  <c r="Y14" i="15"/>
  <c r="Z14" i="15"/>
  <c r="AA14" i="15"/>
  <c r="Y11" i="15"/>
  <c r="Z11" i="15"/>
  <c r="AA11" i="15"/>
  <c r="AB11" i="15" s="1"/>
  <c r="X11" i="15"/>
  <c r="X6" i="15"/>
  <c r="Y6" i="15"/>
  <c r="Z6" i="15"/>
  <c r="AA6" i="15"/>
  <c r="X7" i="15"/>
  <c r="AB7" i="15" s="1"/>
  <c r="Y7" i="15"/>
  <c r="Z7" i="15"/>
  <c r="AA7" i="15"/>
  <c r="X8" i="15"/>
  <c r="AB8" i="15" s="1"/>
  <c r="Y8" i="15"/>
  <c r="Z8" i="15"/>
  <c r="AA8" i="15"/>
  <c r="Y5" i="15"/>
  <c r="Z5" i="15"/>
  <c r="AA5" i="15"/>
  <c r="X5" i="15"/>
  <c r="AB5" i="15" s="1"/>
  <c r="AB35" i="15"/>
  <c r="AB30" i="15"/>
  <c r="AB29" i="15"/>
  <c r="AB24" i="15"/>
  <c r="AB23" i="15"/>
  <c r="AB18" i="15"/>
  <c r="AB12" i="15"/>
  <c r="AB6" i="15"/>
  <c r="Q36" i="15"/>
  <c r="R36" i="15"/>
  <c r="S36" i="15"/>
  <c r="T36" i="15"/>
  <c r="Q37" i="15"/>
  <c r="U37" i="15" s="1"/>
  <c r="R37" i="15"/>
  <c r="S37" i="15"/>
  <c r="T37" i="15"/>
  <c r="Q38" i="15"/>
  <c r="U38" i="15" s="1"/>
  <c r="R38" i="15"/>
  <c r="S38" i="15"/>
  <c r="T38" i="15"/>
  <c r="R35" i="15"/>
  <c r="S35" i="15"/>
  <c r="U35" i="15" s="1"/>
  <c r="T35" i="15"/>
  <c r="Q35" i="15"/>
  <c r="Q30" i="15"/>
  <c r="R30" i="15"/>
  <c r="S30" i="15"/>
  <c r="T30" i="15"/>
  <c r="U30" i="15" s="1"/>
  <c r="Q31" i="15"/>
  <c r="U31" i="15" s="1"/>
  <c r="R31" i="15"/>
  <c r="S31" i="15"/>
  <c r="T31" i="15"/>
  <c r="Q32" i="15"/>
  <c r="U32" i="15" s="1"/>
  <c r="R32" i="15"/>
  <c r="S32" i="15"/>
  <c r="T32" i="15"/>
  <c r="R29" i="15"/>
  <c r="S29" i="15"/>
  <c r="T29" i="15"/>
  <c r="Q29" i="15"/>
  <c r="Q24" i="15"/>
  <c r="R24" i="15"/>
  <c r="S24" i="15"/>
  <c r="T24" i="15"/>
  <c r="Q25" i="15"/>
  <c r="R25" i="15"/>
  <c r="S25" i="15"/>
  <c r="T25" i="15"/>
  <c r="Q26" i="15"/>
  <c r="R26" i="15"/>
  <c r="S26" i="15"/>
  <c r="T26" i="15"/>
  <c r="R23" i="15"/>
  <c r="S23" i="15"/>
  <c r="T23" i="15"/>
  <c r="Q23" i="15"/>
  <c r="Q18" i="15"/>
  <c r="R18" i="15"/>
  <c r="S18" i="15"/>
  <c r="T18" i="15"/>
  <c r="Q19" i="15"/>
  <c r="R19" i="15"/>
  <c r="S19" i="15"/>
  <c r="T19" i="15"/>
  <c r="Q20" i="15"/>
  <c r="R20" i="15"/>
  <c r="S20" i="15"/>
  <c r="T20" i="15"/>
  <c r="R17" i="15"/>
  <c r="S17" i="15"/>
  <c r="T17" i="15"/>
  <c r="Q17" i="15"/>
  <c r="Q12" i="15"/>
  <c r="R12" i="15"/>
  <c r="S12" i="15"/>
  <c r="T12" i="15"/>
  <c r="Q13" i="15"/>
  <c r="R13" i="15"/>
  <c r="S13" i="15"/>
  <c r="T13" i="15"/>
  <c r="Q14" i="15"/>
  <c r="R14" i="15"/>
  <c r="S14" i="15"/>
  <c r="T14" i="15"/>
  <c r="R11" i="15"/>
  <c r="S11" i="15"/>
  <c r="T11" i="15"/>
  <c r="Q11" i="15"/>
  <c r="Q6" i="15"/>
  <c r="R6" i="15"/>
  <c r="S6" i="15"/>
  <c r="T6" i="15"/>
  <c r="Q7" i="15"/>
  <c r="R7" i="15"/>
  <c r="S7" i="15"/>
  <c r="T7" i="15"/>
  <c r="Q8" i="15"/>
  <c r="R8" i="15"/>
  <c r="S8" i="15"/>
  <c r="T8" i="15"/>
  <c r="R5" i="15"/>
  <c r="S5" i="15"/>
  <c r="T5" i="15"/>
  <c r="Q5" i="15"/>
  <c r="U36" i="15"/>
  <c r="U29" i="15"/>
  <c r="N6" i="15"/>
  <c r="N7" i="15"/>
  <c r="N8" i="15"/>
  <c r="N11" i="15"/>
  <c r="N12" i="15"/>
  <c r="N13" i="15"/>
  <c r="N14" i="15"/>
  <c r="N17" i="15"/>
  <c r="N18" i="15"/>
  <c r="N19" i="15"/>
  <c r="N20" i="15"/>
  <c r="N23" i="15"/>
  <c r="N24" i="15"/>
  <c r="N25" i="15"/>
  <c r="N26" i="15"/>
  <c r="N29" i="15"/>
  <c r="N30" i="15"/>
  <c r="N31" i="15"/>
  <c r="N32" i="15"/>
  <c r="N35" i="15"/>
  <c r="N36" i="15"/>
  <c r="N37" i="15"/>
  <c r="N38" i="15"/>
  <c r="N5" i="15"/>
  <c r="J36" i="15"/>
  <c r="K36" i="15"/>
  <c r="L36" i="15"/>
  <c r="M36" i="15"/>
  <c r="J37" i="15"/>
  <c r="K37" i="15"/>
  <c r="L37" i="15"/>
  <c r="M37" i="15"/>
  <c r="J38" i="15"/>
  <c r="K38" i="15"/>
  <c r="L38" i="15"/>
  <c r="M38" i="15"/>
  <c r="K35" i="15"/>
  <c r="L35" i="15"/>
  <c r="M35" i="15"/>
  <c r="J30" i="15"/>
  <c r="K30" i="15"/>
  <c r="L30" i="15"/>
  <c r="M30" i="15"/>
  <c r="J31" i="15"/>
  <c r="K31" i="15"/>
  <c r="L31" i="15"/>
  <c r="M31" i="15"/>
  <c r="J32" i="15"/>
  <c r="K32" i="15"/>
  <c r="L32" i="15"/>
  <c r="M32" i="15"/>
  <c r="K29" i="15"/>
  <c r="L29" i="15"/>
  <c r="M29" i="15"/>
  <c r="J24" i="15"/>
  <c r="K24" i="15"/>
  <c r="L24" i="15"/>
  <c r="M24" i="15"/>
  <c r="J25" i="15"/>
  <c r="K25" i="15"/>
  <c r="L25" i="15"/>
  <c r="M25" i="15"/>
  <c r="J26" i="15"/>
  <c r="K26" i="15"/>
  <c r="L26" i="15"/>
  <c r="M26" i="15"/>
  <c r="K23" i="15"/>
  <c r="L23" i="15"/>
  <c r="M23" i="15"/>
  <c r="J18" i="15"/>
  <c r="K18" i="15"/>
  <c r="L18" i="15"/>
  <c r="M18" i="15"/>
  <c r="J19" i="15"/>
  <c r="K19" i="15"/>
  <c r="L19" i="15"/>
  <c r="M19" i="15"/>
  <c r="J20" i="15"/>
  <c r="K20" i="15"/>
  <c r="L20" i="15"/>
  <c r="M20" i="15"/>
  <c r="K17" i="15"/>
  <c r="L17" i="15"/>
  <c r="M17" i="15"/>
  <c r="J12" i="15"/>
  <c r="K12" i="15"/>
  <c r="L12" i="15"/>
  <c r="M12" i="15"/>
  <c r="J13" i="15"/>
  <c r="K13" i="15"/>
  <c r="L13" i="15"/>
  <c r="M13" i="15"/>
  <c r="J14" i="15"/>
  <c r="K14" i="15"/>
  <c r="L14" i="15"/>
  <c r="M14" i="15"/>
  <c r="K11" i="15"/>
  <c r="L11" i="15"/>
  <c r="M11" i="15"/>
  <c r="J35" i="15"/>
  <c r="J29" i="15"/>
  <c r="J23" i="15"/>
  <c r="J17" i="15"/>
  <c r="J11" i="15"/>
  <c r="J6" i="15"/>
  <c r="K6" i="15"/>
  <c r="L6" i="15"/>
  <c r="M6" i="15"/>
  <c r="J7" i="15"/>
  <c r="K7" i="15"/>
  <c r="L7" i="15"/>
  <c r="M7" i="15"/>
  <c r="J8" i="15"/>
  <c r="K8" i="15"/>
  <c r="L8" i="15"/>
  <c r="M8" i="15"/>
  <c r="K5" i="15"/>
  <c r="L5" i="15"/>
  <c r="M5" i="15"/>
  <c r="J5" i="15"/>
  <c r="D36" i="15"/>
  <c r="E36" i="15"/>
  <c r="F36" i="15"/>
  <c r="G36" i="15"/>
  <c r="D37" i="15"/>
  <c r="E37" i="15"/>
  <c r="F37" i="15"/>
  <c r="G37" i="15"/>
  <c r="D38" i="15"/>
  <c r="E38" i="15"/>
  <c r="F38" i="15"/>
  <c r="G38" i="15"/>
  <c r="E35" i="15"/>
  <c r="F35" i="15"/>
  <c r="G35" i="15"/>
  <c r="D30" i="15"/>
  <c r="E30" i="15"/>
  <c r="F30" i="15"/>
  <c r="G30" i="15"/>
  <c r="D31" i="15"/>
  <c r="E31" i="15"/>
  <c r="F31" i="15"/>
  <c r="G31" i="15"/>
  <c r="D32" i="15"/>
  <c r="E32" i="15"/>
  <c r="F32" i="15"/>
  <c r="G32" i="15"/>
  <c r="E29" i="15"/>
  <c r="F29" i="15"/>
  <c r="G29" i="15"/>
  <c r="D35" i="15"/>
  <c r="D29" i="15"/>
  <c r="D24" i="15"/>
  <c r="E24" i="15"/>
  <c r="F24" i="15"/>
  <c r="G24" i="15"/>
  <c r="D25" i="15"/>
  <c r="E25" i="15"/>
  <c r="F25" i="15"/>
  <c r="G25" i="15"/>
  <c r="D26" i="15"/>
  <c r="E26" i="15"/>
  <c r="F26" i="15"/>
  <c r="G26" i="15"/>
  <c r="E23" i="15"/>
  <c r="F23" i="15"/>
  <c r="G23" i="15"/>
  <c r="D23" i="15"/>
  <c r="AB28" i="13"/>
  <c r="D18" i="15"/>
  <c r="E18" i="15"/>
  <c r="F18" i="15"/>
  <c r="G18" i="15"/>
  <c r="D19" i="15"/>
  <c r="E19" i="15"/>
  <c r="F19" i="15"/>
  <c r="G19" i="15"/>
  <c r="D20" i="15"/>
  <c r="E20" i="15"/>
  <c r="F20" i="15"/>
  <c r="G20" i="15"/>
  <c r="E17" i="15"/>
  <c r="F17" i="15"/>
  <c r="G17" i="15"/>
  <c r="D17" i="15"/>
  <c r="D12" i="15"/>
  <c r="E12" i="15"/>
  <c r="F12" i="15"/>
  <c r="G12" i="15"/>
  <c r="D13" i="15"/>
  <c r="E13" i="15"/>
  <c r="F13" i="15"/>
  <c r="G13" i="15"/>
  <c r="D14" i="15"/>
  <c r="E14" i="15"/>
  <c r="F14" i="15"/>
  <c r="G14" i="15"/>
  <c r="E11" i="15"/>
  <c r="F11" i="15"/>
  <c r="G11" i="15"/>
  <c r="D11" i="15"/>
  <c r="D6" i="15"/>
  <c r="E6" i="15"/>
  <c r="F6" i="15"/>
  <c r="G6" i="15"/>
  <c r="D7" i="15"/>
  <c r="E7" i="15"/>
  <c r="F7" i="15"/>
  <c r="G7" i="15"/>
  <c r="D8" i="15"/>
  <c r="E8" i="15"/>
  <c r="F8" i="15"/>
  <c r="G8" i="15"/>
  <c r="E5" i="15"/>
  <c r="F5" i="15"/>
  <c r="G5" i="15"/>
  <c r="D5" i="15"/>
  <c r="AI23" i="15" l="1"/>
  <c r="AI5" i="15"/>
  <c r="AB17" i="15"/>
  <c r="BQ47" i="13" l="1"/>
  <c r="BR47" i="13"/>
  <c r="BS47" i="13"/>
  <c r="BQ36" i="13"/>
  <c r="BR36" i="13"/>
  <c r="BS36" i="13"/>
  <c r="BQ25" i="13"/>
  <c r="BR25" i="13"/>
  <c r="BS25" i="13"/>
  <c r="BQ14" i="13"/>
  <c r="BR14" i="13"/>
  <c r="BS14" i="13"/>
  <c r="BG53" i="13" l="1"/>
  <c r="BH53" i="13"/>
  <c r="BI53" i="13"/>
  <c r="BJ53" i="13"/>
  <c r="BG54" i="13"/>
  <c r="BH54" i="13"/>
  <c r="BI54" i="13"/>
  <c r="BJ54" i="13"/>
  <c r="BG55" i="13"/>
  <c r="BH55" i="13"/>
  <c r="BI55" i="13"/>
  <c r="BJ55" i="13"/>
  <c r="BG56" i="13"/>
  <c r="BH56" i="13"/>
  <c r="BI56" i="13"/>
  <c r="BJ56" i="13"/>
  <c r="BG57" i="13"/>
  <c r="BH57" i="13"/>
  <c r="BI57" i="13"/>
  <c r="BJ57" i="13"/>
  <c r="BJ52" i="13"/>
  <c r="BI52" i="13"/>
  <c r="BH52" i="13"/>
  <c r="BG52" i="13"/>
  <c r="BO42" i="13"/>
  <c r="BO43" i="13"/>
  <c r="BO44" i="13"/>
  <c r="BO45" i="13"/>
  <c r="BO46" i="13"/>
  <c r="BO41" i="13"/>
  <c r="BP31" i="13"/>
  <c r="BP32" i="13"/>
  <c r="BP34" i="13"/>
  <c r="BP35" i="13"/>
  <c r="BO31" i="13"/>
  <c r="BO32" i="13"/>
  <c r="BO33" i="13"/>
  <c r="BO34" i="13"/>
  <c r="BO35" i="13"/>
  <c r="BO30" i="13"/>
  <c r="BO20" i="13"/>
  <c r="BO21" i="13"/>
  <c r="BO22" i="13"/>
  <c r="BO23" i="13"/>
  <c r="BO24" i="13"/>
  <c r="BO19" i="13"/>
  <c r="BS46" i="13"/>
  <c r="BR46" i="13"/>
  <c r="BQ46" i="13"/>
  <c r="BP46" i="13"/>
  <c r="BS45" i="13"/>
  <c r="BR45" i="13"/>
  <c r="BQ45" i="13"/>
  <c r="BP45" i="13"/>
  <c r="BS44" i="13"/>
  <c r="BR44" i="13"/>
  <c r="BQ44" i="13"/>
  <c r="BS43" i="13"/>
  <c r="BR43" i="13"/>
  <c r="BQ43" i="13"/>
  <c r="BP43" i="13"/>
  <c r="BS42" i="13"/>
  <c r="BR42" i="13"/>
  <c r="BQ42" i="13"/>
  <c r="BP42" i="13"/>
  <c r="BS41" i="13"/>
  <c r="BR41" i="13"/>
  <c r="BQ41" i="13"/>
  <c r="BP41" i="13"/>
  <c r="BS35" i="13"/>
  <c r="BR35" i="13"/>
  <c r="BQ35" i="13"/>
  <c r="BS34" i="13"/>
  <c r="BR34" i="13"/>
  <c r="BQ34" i="13"/>
  <c r="BS33" i="13"/>
  <c r="BR33" i="13"/>
  <c r="BQ33" i="13"/>
  <c r="BS32" i="13"/>
  <c r="BR32" i="13"/>
  <c r="BQ32" i="13"/>
  <c r="BS31" i="13"/>
  <c r="BR31" i="13"/>
  <c r="BQ31" i="13"/>
  <c r="BS30" i="13"/>
  <c r="BR30" i="13"/>
  <c r="BQ30" i="13"/>
  <c r="BP30" i="13"/>
  <c r="BS24" i="13"/>
  <c r="BR24" i="13"/>
  <c r="BQ24" i="13"/>
  <c r="BP24" i="13"/>
  <c r="BS23" i="13"/>
  <c r="BR23" i="13"/>
  <c r="BQ23" i="13"/>
  <c r="BP23" i="13"/>
  <c r="BS22" i="13"/>
  <c r="BR22" i="13"/>
  <c r="BQ22" i="13"/>
  <c r="BS21" i="13"/>
  <c r="BR21" i="13"/>
  <c r="BQ21" i="13"/>
  <c r="BP21" i="13"/>
  <c r="BS20" i="13"/>
  <c r="BR20" i="13"/>
  <c r="BQ20" i="13"/>
  <c r="BP20" i="13"/>
  <c r="BS19" i="13"/>
  <c r="BR19" i="13"/>
  <c r="BQ19" i="13"/>
  <c r="BP19" i="13"/>
  <c r="BK41" i="13"/>
  <c r="BK42" i="13"/>
  <c r="BK43" i="13"/>
  <c r="BK44" i="13"/>
  <c r="BK45" i="13"/>
  <c r="BK40" i="13"/>
  <c r="BK46" i="13"/>
  <c r="BJ45" i="13"/>
  <c r="BJ44" i="13"/>
  <c r="BJ43" i="13"/>
  <c r="BJ42" i="13"/>
  <c r="BJ41" i="13"/>
  <c r="BJ40" i="13"/>
  <c r="BI45" i="13"/>
  <c r="BH45" i="13"/>
  <c r="BG45" i="13"/>
  <c r="BF45" i="13"/>
  <c r="BE45" i="13"/>
  <c r="BD45" i="13"/>
  <c r="BI44" i="13"/>
  <c r="BH44" i="13"/>
  <c r="BG44" i="13"/>
  <c r="BF44" i="13"/>
  <c r="BE44" i="13"/>
  <c r="BD44" i="13"/>
  <c r="BI43" i="13"/>
  <c r="BH43" i="13"/>
  <c r="BG43" i="13"/>
  <c r="BF43" i="13"/>
  <c r="BE43" i="13"/>
  <c r="BD43" i="13"/>
  <c r="BI42" i="13"/>
  <c r="BH42" i="13"/>
  <c r="BG42" i="13"/>
  <c r="BF42" i="13"/>
  <c r="BE42" i="13"/>
  <c r="BD42" i="13"/>
  <c r="BI41" i="13"/>
  <c r="BH41" i="13"/>
  <c r="BG41" i="13"/>
  <c r="BF41" i="13"/>
  <c r="BE41" i="13"/>
  <c r="BD41" i="13"/>
  <c r="BI40" i="13"/>
  <c r="BH40" i="13"/>
  <c r="BG40" i="13"/>
  <c r="BF40" i="13"/>
  <c r="BE40" i="13"/>
  <c r="BD40" i="13"/>
  <c r="BK36" i="13"/>
  <c r="BK31" i="13"/>
  <c r="BK32" i="13"/>
  <c r="BK33" i="13"/>
  <c r="BK34" i="13"/>
  <c r="BK35" i="13"/>
  <c r="BK30" i="13"/>
  <c r="BJ35" i="13"/>
  <c r="BJ34" i="13"/>
  <c r="BJ33" i="13"/>
  <c r="BJ32" i="13"/>
  <c r="BJ31" i="13"/>
  <c r="BJ30" i="13"/>
  <c r="BI35" i="13"/>
  <c r="BH35" i="13"/>
  <c r="BG35" i="13"/>
  <c r="BF35" i="13"/>
  <c r="BE35" i="13"/>
  <c r="BD35" i="13"/>
  <c r="BI34" i="13"/>
  <c r="BH34" i="13"/>
  <c r="BG34" i="13"/>
  <c r="BF34" i="13"/>
  <c r="BE34" i="13"/>
  <c r="BD34" i="13"/>
  <c r="BI33" i="13"/>
  <c r="BH33" i="13"/>
  <c r="BG33" i="13"/>
  <c r="BF33" i="13"/>
  <c r="BE33" i="13"/>
  <c r="BD33" i="13"/>
  <c r="BI32" i="13"/>
  <c r="BH32" i="13"/>
  <c r="BG32" i="13"/>
  <c r="BF32" i="13"/>
  <c r="BE32" i="13"/>
  <c r="BD32" i="13"/>
  <c r="BI31" i="13"/>
  <c r="BH31" i="13"/>
  <c r="BG31" i="13"/>
  <c r="BF31" i="13"/>
  <c r="BE31" i="13"/>
  <c r="BD31" i="13"/>
  <c r="BI30" i="13"/>
  <c r="BH30" i="13"/>
  <c r="BG30" i="13"/>
  <c r="BF30" i="13"/>
  <c r="BE30" i="13"/>
  <c r="BD30" i="13"/>
  <c r="BK21" i="13"/>
  <c r="BK22" i="13"/>
  <c r="BK23" i="13"/>
  <c r="BK24" i="13"/>
  <c r="BK25" i="13"/>
  <c r="BK20" i="13"/>
  <c r="BK26" i="13"/>
  <c r="BJ25" i="13"/>
  <c r="BJ24" i="13"/>
  <c r="BJ23" i="13"/>
  <c r="BJ22" i="13"/>
  <c r="BJ21" i="13"/>
  <c r="BJ20" i="13"/>
  <c r="BI25" i="13"/>
  <c r="BH25" i="13"/>
  <c r="BG25" i="13"/>
  <c r="BF25" i="13"/>
  <c r="BE25" i="13"/>
  <c r="BD25" i="13"/>
  <c r="BI24" i="13"/>
  <c r="BH24" i="13"/>
  <c r="BG24" i="13"/>
  <c r="BF24" i="13"/>
  <c r="BE24" i="13"/>
  <c r="BD24" i="13"/>
  <c r="BI23" i="13"/>
  <c r="BH23" i="13"/>
  <c r="BG23" i="13"/>
  <c r="BF23" i="13"/>
  <c r="BE23" i="13"/>
  <c r="BD23" i="13"/>
  <c r="BI22" i="13"/>
  <c r="BH22" i="13"/>
  <c r="BG22" i="13"/>
  <c r="BF22" i="13"/>
  <c r="BE22" i="13"/>
  <c r="BD22" i="13"/>
  <c r="BI21" i="13"/>
  <c r="BH21" i="13"/>
  <c r="BG21" i="13"/>
  <c r="BF21" i="13"/>
  <c r="BE21" i="13"/>
  <c r="BD21" i="13"/>
  <c r="BI20" i="13"/>
  <c r="BH20" i="13"/>
  <c r="BG20" i="13"/>
  <c r="BF20" i="13"/>
  <c r="BE20" i="13"/>
  <c r="BD20" i="13"/>
  <c r="BB45" i="13"/>
  <c r="BA45" i="13"/>
  <c r="AZ45" i="13"/>
  <c r="AY45" i="13"/>
  <c r="AX45" i="13"/>
  <c r="BA44" i="13"/>
  <c r="AZ44" i="13"/>
  <c r="AY44" i="13"/>
  <c r="AX44" i="13"/>
  <c r="AZ43" i="13"/>
  <c r="AY43" i="13"/>
  <c r="AX43" i="13"/>
  <c r="AY42" i="13"/>
  <c r="AX42" i="13"/>
  <c r="AX41" i="13"/>
  <c r="BB35" i="13"/>
  <c r="BA35" i="13"/>
  <c r="AZ35" i="13"/>
  <c r="AY35" i="13"/>
  <c r="AX35" i="13"/>
  <c r="BA34" i="13"/>
  <c r="AZ34" i="13"/>
  <c r="AY34" i="13"/>
  <c r="AX34" i="13"/>
  <c r="AZ33" i="13"/>
  <c r="AY33" i="13"/>
  <c r="AX33" i="13"/>
  <c r="AY32" i="13"/>
  <c r="AX32" i="13"/>
  <c r="AX31" i="13"/>
  <c r="BB25" i="13"/>
  <c r="BA25" i="13"/>
  <c r="AZ25" i="13"/>
  <c r="AY25" i="13"/>
  <c r="AX25" i="13"/>
  <c r="BA24" i="13"/>
  <c r="AZ24" i="13"/>
  <c r="AY24" i="13"/>
  <c r="AX24" i="13"/>
  <c r="AZ23" i="13"/>
  <c r="AY23" i="13"/>
  <c r="AX23" i="13"/>
  <c r="AY22" i="13"/>
  <c r="AX22" i="13"/>
  <c r="AX21" i="13"/>
  <c r="D3" i="14"/>
  <c r="E3" i="14"/>
  <c r="F3" i="14"/>
  <c r="C3" i="14"/>
  <c r="BI15" i="9"/>
  <c r="BJ15" i="9"/>
  <c r="BK15" i="9"/>
  <c r="BH15" i="9"/>
  <c r="BG9" i="9"/>
  <c r="BG8" i="9"/>
  <c r="BG11" i="9"/>
  <c r="BG10" i="9"/>
  <c r="BG13" i="9"/>
  <c r="BG12" i="9"/>
  <c r="BC16" i="9"/>
  <c r="BC11" i="9"/>
  <c r="BC12" i="9"/>
  <c r="BC13" i="9"/>
  <c r="BC14" i="9"/>
  <c r="BC15" i="9"/>
  <c r="BC10" i="9"/>
  <c r="AR29" i="9"/>
  <c r="AR30" i="9"/>
  <c r="AR31" i="9"/>
  <c r="AR28" i="9"/>
  <c r="AR11" i="9"/>
  <c r="AR12" i="9"/>
  <c r="AR13" i="9"/>
  <c r="AR10" i="9"/>
  <c r="AG29" i="9"/>
  <c r="AG30" i="9"/>
  <c r="AG31" i="9"/>
  <c r="AG28" i="9"/>
  <c r="V29" i="9"/>
  <c r="V30" i="9"/>
  <c r="V31" i="9"/>
  <c r="V28" i="9"/>
  <c r="AG11" i="9"/>
  <c r="AG12" i="9"/>
  <c r="AG13" i="9"/>
  <c r="AG10" i="9"/>
  <c r="BB11" i="9"/>
  <c r="BB12" i="9"/>
  <c r="BB13" i="9"/>
  <c r="BB14" i="9"/>
  <c r="BB15" i="9"/>
  <c r="BB10" i="9"/>
  <c r="BD19" i="9"/>
  <c r="BC26" i="9"/>
  <c r="BB25" i="9"/>
  <c r="BC20" i="9" a="1"/>
  <c r="BC20" i="9" s="1"/>
  <c r="BC21" i="9" a="1"/>
  <c r="BC21" i="9"/>
  <c r="BC22" i="9" a="1"/>
  <c r="BC22" i="9"/>
  <c r="BC23" i="9" a="1"/>
  <c r="BC23" i="9"/>
  <c r="BC24" i="9" a="1"/>
  <c r="BC24" i="9" s="1"/>
  <c r="BC19" i="9" a="1"/>
  <c r="BC19" i="9" s="1"/>
  <c r="BB20" i="9"/>
  <c r="BB21" i="9"/>
  <c r="BB22" i="9"/>
  <c r="BB23" i="9"/>
  <c r="BB24" i="9"/>
  <c r="BB19" i="9"/>
  <c r="BA20" i="9"/>
  <c r="BA22" i="9"/>
  <c r="BA16" i="9"/>
  <c r="BA23" i="9" s="1"/>
  <c r="AX13" i="9"/>
  <c r="AX16" i="9" s="1"/>
  <c r="AZ15" i="9"/>
  <c r="AZ16" i="9" s="1"/>
  <c r="AY15" i="9"/>
  <c r="AY14" i="9"/>
  <c r="AY16" i="9" s="1"/>
  <c r="AX15" i="9"/>
  <c r="AX24" i="9" s="1"/>
  <c r="AX14" i="9"/>
  <c r="AX23" i="9" s="1"/>
  <c r="AW15" i="9"/>
  <c r="AW14" i="9"/>
  <c r="AW13" i="9"/>
  <c r="AW12" i="9"/>
  <c r="AW16" i="9" s="1"/>
  <c r="AV15" i="9"/>
  <c r="AV14" i="9"/>
  <c r="AV13" i="9"/>
  <c r="AV12" i="9"/>
  <c r="AV11" i="9"/>
  <c r="BS13" i="13"/>
  <c r="BR13" i="13"/>
  <c r="BQ13" i="13"/>
  <c r="BP13" i="13"/>
  <c r="BS12" i="13"/>
  <c r="BR12" i="13"/>
  <c r="BQ12" i="13"/>
  <c r="BP12" i="13"/>
  <c r="BS11" i="13"/>
  <c r="BR11" i="13"/>
  <c r="BQ11" i="13"/>
  <c r="BS10" i="13"/>
  <c r="BR10" i="13"/>
  <c r="BQ10" i="13"/>
  <c r="BP10" i="13"/>
  <c r="BS9" i="13"/>
  <c r="BR9" i="13"/>
  <c r="BQ9" i="13"/>
  <c r="BP9" i="13"/>
  <c r="BS8" i="13"/>
  <c r="BR8" i="13"/>
  <c r="BQ8" i="13"/>
  <c r="BP8" i="13"/>
  <c r="BO9" i="13"/>
  <c r="BO10" i="13"/>
  <c r="BO11" i="13"/>
  <c r="BO12" i="13"/>
  <c r="BO13" i="13"/>
  <c r="BO8" i="13"/>
  <c r="BK16" i="13"/>
  <c r="BK11" i="13"/>
  <c r="BK12" i="13"/>
  <c r="BK13" i="13"/>
  <c r="BK14" i="13"/>
  <c r="BK15" i="13"/>
  <c r="BK10" i="13"/>
  <c r="BE11" i="13"/>
  <c r="BF11" i="13"/>
  <c r="BG11" i="13"/>
  <c r="BH11" i="13"/>
  <c r="BI11" i="13"/>
  <c r="BD12" i="13"/>
  <c r="BJ12" i="13" s="1"/>
  <c r="BF12" i="13"/>
  <c r="BG12" i="13"/>
  <c r="BH12" i="13"/>
  <c r="BI12" i="13"/>
  <c r="BG13" i="13"/>
  <c r="BH13" i="13"/>
  <c r="BI13" i="13"/>
  <c r="BF14" i="13"/>
  <c r="BH14" i="13"/>
  <c r="BI14" i="13"/>
  <c r="BG15" i="13"/>
  <c r="BI15" i="13"/>
  <c r="BE10" i="13"/>
  <c r="BF10" i="13"/>
  <c r="BG10" i="13"/>
  <c r="BH10" i="13"/>
  <c r="BI10" i="13"/>
  <c r="BD10" i="13"/>
  <c r="BJ10" i="13" s="1"/>
  <c r="BB15" i="13"/>
  <c r="BH15" i="13" s="1"/>
  <c r="BA15" i="13"/>
  <c r="BA14" i="13"/>
  <c r="BG14" i="13" s="1"/>
  <c r="AZ15" i="13"/>
  <c r="BF15" i="13" s="1"/>
  <c r="AZ14" i="13"/>
  <c r="AZ13" i="13"/>
  <c r="BF13" i="13" s="1"/>
  <c r="AY15" i="13"/>
  <c r="BE15" i="13" s="1"/>
  <c r="AY14" i="13"/>
  <c r="BE14" i="13" s="1"/>
  <c r="AY13" i="13"/>
  <c r="BE13" i="13" s="1"/>
  <c r="AY12" i="13"/>
  <c r="BE12" i="13" s="1"/>
  <c r="AX15" i="13"/>
  <c r="BD15" i="13" s="1"/>
  <c r="BJ15" i="13" s="1"/>
  <c r="AX14" i="13"/>
  <c r="BD14" i="13" s="1"/>
  <c r="BJ14" i="13" s="1"/>
  <c r="AX13" i="13"/>
  <c r="BD13" i="13" s="1"/>
  <c r="BJ13" i="13" s="1"/>
  <c r="AX12" i="13"/>
  <c r="AX11" i="13"/>
  <c r="BD11" i="13" s="1"/>
  <c r="BJ11" i="13" s="1"/>
  <c r="AM29" i="13"/>
  <c r="AQ29" i="13" s="1"/>
  <c r="AN29" i="13"/>
  <c r="AR29" i="13" s="1"/>
  <c r="AO29" i="13"/>
  <c r="AS29" i="13" s="1"/>
  <c r="AP29" i="13"/>
  <c r="AT29" i="13" s="1"/>
  <c r="AM30" i="13"/>
  <c r="AQ30" i="13" s="1"/>
  <c r="AN30" i="13"/>
  <c r="AR30" i="13" s="1"/>
  <c r="AO30" i="13"/>
  <c r="AS30" i="13" s="1"/>
  <c r="AP30" i="13"/>
  <c r="AT30" i="13" s="1"/>
  <c r="AM31" i="13"/>
  <c r="AQ31" i="13" s="1"/>
  <c r="AN31" i="13"/>
  <c r="AR31" i="13" s="1"/>
  <c r="AO31" i="13"/>
  <c r="AS31" i="13" s="1"/>
  <c r="AP31" i="13"/>
  <c r="AT31" i="13" s="1"/>
  <c r="AN28" i="13"/>
  <c r="AR28" i="13" s="1"/>
  <c r="AO28" i="13"/>
  <c r="AS28" i="13" s="1"/>
  <c r="AP28" i="13"/>
  <c r="AT28" i="13" s="1"/>
  <c r="AM28" i="13"/>
  <c r="AQ28" i="13" s="1"/>
  <c r="AM11" i="13"/>
  <c r="AQ11" i="13" s="1"/>
  <c r="AN11" i="13"/>
  <c r="AR11" i="13" s="1"/>
  <c r="AO11" i="13"/>
  <c r="AS11" i="13" s="1"/>
  <c r="AP11" i="13"/>
  <c r="AT11" i="13" s="1"/>
  <c r="AM12" i="13"/>
  <c r="AQ12" i="13" s="1"/>
  <c r="AN12" i="13"/>
  <c r="AR12" i="13" s="1"/>
  <c r="AO12" i="13"/>
  <c r="AS12" i="13" s="1"/>
  <c r="AP12" i="13"/>
  <c r="AT12" i="13" s="1"/>
  <c r="AM13" i="13"/>
  <c r="AQ13" i="13" s="1"/>
  <c r="AN13" i="13"/>
  <c r="AR13" i="13" s="1"/>
  <c r="AO13" i="13"/>
  <c r="AS13" i="13" s="1"/>
  <c r="AP13" i="13"/>
  <c r="AT13" i="13" s="1"/>
  <c r="AN10" i="13"/>
  <c r="AR10" i="13" s="1"/>
  <c r="AO10" i="13"/>
  <c r="AS10" i="13" s="1"/>
  <c r="AP10" i="13"/>
  <c r="AT10" i="13" s="1"/>
  <c r="AM10" i="13"/>
  <c r="AQ10" i="13" s="1"/>
  <c r="AB29" i="13"/>
  <c r="AF29" i="13" s="1"/>
  <c r="AC29" i="13"/>
  <c r="AG29" i="13" s="1"/>
  <c r="AD29" i="13"/>
  <c r="AH29" i="13" s="1"/>
  <c r="AE29" i="13"/>
  <c r="AI29" i="13" s="1"/>
  <c r="AB30" i="13"/>
  <c r="AF30" i="13" s="1"/>
  <c r="AC30" i="13"/>
  <c r="AG30" i="13" s="1"/>
  <c r="AD30" i="13"/>
  <c r="AH30" i="13" s="1"/>
  <c r="AE30" i="13"/>
  <c r="AI30" i="13" s="1"/>
  <c r="AB31" i="13"/>
  <c r="AF31" i="13" s="1"/>
  <c r="AC31" i="13"/>
  <c r="AG31" i="13" s="1"/>
  <c r="AD31" i="13"/>
  <c r="AH31" i="13" s="1"/>
  <c r="AE31" i="13"/>
  <c r="AI31" i="13" s="1"/>
  <c r="AC28" i="13"/>
  <c r="AG28" i="13" s="1"/>
  <c r="AD28" i="13"/>
  <c r="AH28" i="13" s="1"/>
  <c r="AE28" i="13"/>
  <c r="AI28" i="13" s="1"/>
  <c r="AF28" i="13"/>
  <c r="AB11" i="13"/>
  <c r="AF11" i="13" s="1"/>
  <c r="AC11" i="13"/>
  <c r="AG11" i="13" s="1"/>
  <c r="AD11" i="13"/>
  <c r="AH11" i="13" s="1"/>
  <c r="AE11" i="13"/>
  <c r="AI11" i="13" s="1"/>
  <c r="AB12" i="13"/>
  <c r="AF12" i="13" s="1"/>
  <c r="AC12" i="13"/>
  <c r="AG12" i="13" s="1"/>
  <c r="AD12" i="13"/>
  <c r="AH12" i="13" s="1"/>
  <c r="AE12" i="13"/>
  <c r="AI12" i="13" s="1"/>
  <c r="AB13" i="13"/>
  <c r="AF13" i="13" s="1"/>
  <c r="AC13" i="13"/>
  <c r="AG13" i="13" s="1"/>
  <c r="AD13" i="13"/>
  <c r="AH13" i="13" s="1"/>
  <c r="AE13" i="13"/>
  <c r="AI13" i="13" s="1"/>
  <c r="AC10" i="13"/>
  <c r="AG10" i="13" s="1"/>
  <c r="AD10" i="13"/>
  <c r="AH10" i="13" s="1"/>
  <c r="AE10" i="13"/>
  <c r="AI10" i="13" s="1"/>
  <c r="AB10" i="13"/>
  <c r="AF10" i="13" s="1"/>
  <c r="Q29" i="13"/>
  <c r="U29" i="13" s="1"/>
  <c r="R29" i="13"/>
  <c r="V29" i="13" s="1"/>
  <c r="S29" i="13"/>
  <c r="W29" i="13" s="1"/>
  <c r="T29" i="13"/>
  <c r="X29" i="13" s="1"/>
  <c r="Q30" i="13"/>
  <c r="U30" i="13" s="1"/>
  <c r="R30" i="13"/>
  <c r="V30" i="13" s="1"/>
  <c r="S30" i="13"/>
  <c r="W30" i="13" s="1"/>
  <c r="T30" i="13"/>
  <c r="X30" i="13" s="1"/>
  <c r="Q31" i="13"/>
  <c r="U31" i="13" s="1"/>
  <c r="R31" i="13"/>
  <c r="V31" i="13" s="1"/>
  <c r="S31" i="13"/>
  <c r="W31" i="13" s="1"/>
  <c r="T31" i="13"/>
  <c r="X31" i="13" s="1"/>
  <c r="R28" i="13"/>
  <c r="V28" i="13" s="1"/>
  <c r="S28" i="13"/>
  <c r="W28" i="13" s="1"/>
  <c r="T28" i="13"/>
  <c r="X28" i="13" s="1"/>
  <c r="Q28" i="13"/>
  <c r="U28" i="13" s="1"/>
  <c r="Q11" i="13"/>
  <c r="U11" i="13" s="1"/>
  <c r="R11" i="13"/>
  <c r="V11" i="13" s="1"/>
  <c r="S11" i="13"/>
  <c r="W11" i="13" s="1"/>
  <c r="T11" i="13"/>
  <c r="X11" i="13" s="1"/>
  <c r="Q12" i="13"/>
  <c r="U12" i="13" s="1"/>
  <c r="R12" i="13"/>
  <c r="V12" i="13" s="1"/>
  <c r="S12" i="13"/>
  <c r="W12" i="13" s="1"/>
  <c r="T12" i="13"/>
  <c r="X12" i="13" s="1"/>
  <c r="Q13" i="13"/>
  <c r="U13" i="13" s="1"/>
  <c r="R13" i="13"/>
  <c r="V13" i="13" s="1"/>
  <c r="S13" i="13"/>
  <c r="W13" i="13" s="1"/>
  <c r="T13" i="13"/>
  <c r="X13" i="13" s="1"/>
  <c r="R10" i="13"/>
  <c r="V10" i="13" s="1"/>
  <c r="S10" i="13"/>
  <c r="W10" i="13" s="1"/>
  <c r="T10" i="13"/>
  <c r="X10" i="13" s="1"/>
  <c r="Q10" i="13"/>
  <c r="U10" i="13" s="1"/>
  <c r="Q26" i="9"/>
  <c r="AF13" i="9"/>
  <c r="AF12" i="9"/>
  <c r="AF11" i="9"/>
  <c r="AF10" i="9"/>
  <c r="AF31" i="9"/>
  <c r="AF30" i="9"/>
  <c r="AF29" i="9"/>
  <c r="AF28" i="9"/>
  <c r="AW19" i="9" l="1"/>
  <c r="AW24" i="9"/>
  <c r="AW22" i="9"/>
  <c r="AW23" i="9"/>
  <c r="AW20" i="9"/>
  <c r="AW21" i="9"/>
  <c r="AY24" i="9"/>
  <c r="AZ21" i="9"/>
  <c r="AZ19" i="9"/>
  <c r="AZ20" i="9"/>
  <c r="AZ22" i="9"/>
  <c r="AZ23" i="9"/>
  <c r="AY21" i="9"/>
  <c r="AY19" i="9"/>
  <c r="AY23" i="9"/>
  <c r="AY22" i="9"/>
  <c r="AY20" i="9"/>
  <c r="AX19" i="9"/>
  <c r="AX20" i="9"/>
  <c r="AX21" i="9"/>
  <c r="AV16" i="9"/>
  <c r="BA24" i="9"/>
  <c r="AZ24" i="9"/>
  <c r="AX22" i="9"/>
  <c r="BA19" i="9"/>
  <c r="BA25" i="9" s="1"/>
  <c r="BA21" i="9"/>
  <c r="Y28" i="13"/>
  <c r="Y29" i="13"/>
  <c r="AU10" i="13"/>
  <c r="AU11" i="13"/>
  <c r="AJ28" i="13"/>
  <c r="Y30" i="13"/>
  <c r="AU12" i="13"/>
  <c r="AU28" i="13"/>
  <c r="AJ10" i="13"/>
  <c r="Y12" i="13"/>
  <c r="Y10" i="13"/>
  <c r="AJ29" i="13"/>
  <c r="AU30" i="13"/>
  <c r="Y11" i="13"/>
  <c r="Y13" i="13"/>
  <c r="AJ12" i="13"/>
  <c r="AJ31" i="13"/>
  <c r="AJ11" i="13"/>
  <c r="AU13" i="13"/>
  <c r="AU29" i="13"/>
  <c r="Y31" i="13"/>
  <c r="AJ13" i="13"/>
  <c r="AJ30" i="13"/>
  <c r="AU31" i="13"/>
  <c r="BP11" i="13" l="1"/>
  <c r="BP14" i="13" s="1"/>
  <c r="BP44" i="13"/>
  <c r="BP47" i="13" s="1"/>
  <c r="BP33" i="13"/>
  <c r="BP36" i="13" s="1"/>
  <c r="BP22" i="13"/>
  <c r="BP25" i="13" s="1"/>
  <c r="AV24" i="9"/>
  <c r="AV19" i="9"/>
  <c r="AV23" i="9"/>
  <c r="AV22" i="9"/>
  <c r="AX25" i="9"/>
  <c r="AV20" i="9"/>
  <c r="AW25" i="9"/>
  <c r="AZ25" i="9"/>
  <c r="AV21" i="9"/>
  <c r="AY25" i="9"/>
  <c r="BP37" i="13" l="1"/>
  <c r="BI59" i="13" s="1"/>
  <c r="BS37" i="13"/>
  <c r="BI62" i="13" s="1"/>
  <c r="BQ37" i="13"/>
  <c r="BI60" i="13" s="1"/>
  <c r="BR37" i="13"/>
  <c r="BI61" i="13" s="1"/>
  <c r="BQ26" i="13"/>
  <c r="BH60" i="13" s="1"/>
  <c r="BP26" i="13"/>
  <c r="BH59" i="13" s="1"/>
  <c r="BS26" i="13"/>
  <c r="BH62" i="13" s="1"/>
  <c r="BR26" i="13"/>
  <c r="BH61" i="13" s="1"/>
  <c r="BQ48" i="13"/>
  <c r="BJ60" i="13" s="1"/>
  <c r="BR48" i="13"/>
  <c r="BJ61" i="13" s="1"/>
  <c r="BP48" i="13"/>
  <c r="BJ59" i="13" s="1"/>
  <c r="BS48" i="13"/>
  <c r="BJ62" i="13" s="1"/>
  <c r="BR15" i="13"/>
  <c r="BS15" i="13"/>
  <c r="BP15" i="13"/>
  <c r="BQ15" i="13"/>
  <c r="AB74" i="9"/>
  <c r="AB78" i="9" s="1"/>
  <c r="AC74" i="9"/>
  <c r="AC78" i="9" s="1"/>
  <c r="AD74" i="9"/>
  <c r="AD78" i="9" s="1"/>
  <c r="AE74" i="9"/>
  <c r="AE78" i="9" s="1"/>
  <c r="AE56" i="9"/>
  <c r="AE60" i="9" s="1"/>
  <c r="AB56" i="9"/>
  <c r="AB60" i="9" s="1"/>
  <c r="AC56" i="9"/>
  <c r="AC60" i="9" s="1"/>
  <c r="AD56" i="9"/>
  <c r="AD60" i="9" s="1"/>
  <c r="D82" i="12"/>
  <c r="E82" i="12"/>
  <c r="F82" i="12"/>
  <c r="C82" i="12"/>
  <c r="D74" i="12"/>
  <c r="E74" i="12"/>
  <c r="F74" i="12"/>
  <c r="C74" i="12"/>
  <c r="AN28" i="9"/>
  <c r="AP28" i="9"/>
  <c r="AN29" i="9"/>
  <c r="AP29" i="9"/>
  <c r="AO30" i="9"/>
  <c r="AP30" i="9"/>
  <c r="AP31" i="9"/>
  <c r="AM28" i="9"/>
  <c r="AN11" i="9"/>
  <c r="AO12" i="9"/>
  <c r="AP12" i="9"/>
  <c r="AP13" i="9"/>
  <c r="AN10" i="9"/>
  <c r="AO10" i="9"/>
  <c r="AM10" i="9"/>
  <c r="Y53" i="11"/>
  <c r="W55" i="11" s="1"/>
  <c r="Z54" i="11"/>
  <c r="Z53" i="11"/>
  <c r="Z60" i="11" s="1"/>
  <c r="Y54" i="11"/>
  <c r="AO29" i="9" s="1"/>
  <c r="W70" i="11"/>
  <c r="W71" i="11"/>
  <c r="X71" i="11"/>
  <c r="W72" i="11"/>
  <c r="X72" i="11"/>
  <c r="Y72" i="11"/>
  <c r="W54" i="11"/>
  <c r="AM29" i="9" s="1"/>
  <c r="X56" i="11"/>
  <c r="AN31" i="9" s="1"/>
  <c r="Y56" i="11"/>
  <c r="Y63" i="11" s="1"/>
  <c r="Y57" i="11"/>
  <c r="Y60" i="11" s="1"/>
  <c r="Z57" i="11"/>
  <c r="Z61" i="11" s="1"/>
  <c r="R73" i="11"/>
  <c r="R69" i="11"/>
  <c r="R62" i="11"/>
  <c r="R55" i="11"/>
  <c r="Y46" i="11"/>
  <c r="X46" i="11"/>
  <c r="X45" i="11"/>
  <c r="W46" i="11"/>
  <c r="W45" i="11"/>
  <c r="W44" i="11"/>
  <c r="Z29" i="11"/>
  <c r="Z28" i="11"/>
  <c r="AP11" i="9" s="1"/>
  <c r="Y28" i="11"/>
  <c r="AO11" i="9" s="1"/>
  <c r="Z27" i="11"/>
  <c r="AP10" i="9" s="1"/>
  <c r="Y27" i="11"/>
  <c r="Y31" i="11" s="1"/>
  <c r="X29" i="11"/>
  <c r="W28" i="11"/>
  <c r="AM11" i="9" s="1"/>
  <c r="W29" i="11"/>
  <c r="AM12" i="9" s="1"/>
  <c r="W30" i="11"/>
  <c r="AM13" i="9" s="1"/>
  <c r="X30" i="11"/>
  <c r="AN13" i="9" s="1"/>
  <c r="Y30" i="11"/>
  <c r="AO13" i="9" s="1"/>
  <c r="AC32" i="9"/>
  <c r="AC35" i="9" s="1"/>
  <c r="AB32" i="9"/>
  <c r="AB38" i="9" s="1"/>
  <c r="AD32" i="9"/>
  <c r="AD35" i="9" s="1"/>
  <c r="AE32" i="9"/>
  <c r="AE35" i="9" s="1"/>
  <c r="AD14" i="9"/>
  <c r="AD19" i="9" s="1"/>
  <c r="AB14" i="9"/>
  <c r="AB19" i="9" s="1"/>
  <c r="AE14" i="9"/>
  <c r="AE18" i="9" s="1"/>
  <c r="AC14" i="9"/>
  <c r="AC17" i="9" s="1"/>
  <c r="T11" i="9"/>
  <c r="T12" i="9"/>
  <c r="D4" i="14" l="1"/>
  <c r="BG60" i="13"/>
  <c r="C4" i="14"/>
  <c r="BG59" i="13"/>
  <c r="F4" i="14"/>
  <c r="BG62" i="13"/>
  <c r="E4" i="14"/>
  <c r="BG61" i="13"/>
  <c r="AP32" i="9"/>
  <c r="AP38" i="9" s="1"/>
  <c r="AC61" i="9"/>
  <c r="AC18" i="9"/>
  <c r="AB18" i="9"/>
  <c r="AD18" i="9"/>
  <c r="AD17" i="9"/>
  <c r="AE20" i="9"/>
  <c r="AD20" i="9"/>
  <c r="AE17" i="9"/>
  <c r="AC20" i="9"/>
  <c r="AB20" i="9"/>
  <c r="AF20" i="9" s="1"/>
  <c r="AC19" i="9"/>
  <c r="AC21" i="9" s="1"/>
  <c r="AB17" i="9"/>
  <c r="AQ13" i="9"/>
  <c r="AQ10" i="9"/>
  <c r="AP36" i="9"/>
  <c r="AQ29" i="9"/>
  <c r="AE19" i="9"/>
  <c r="AQ11" i="9"/>
  <c r="AP35" i="9"/>
  <c r="AF60" i="9"/>
  <c r="AP37" i="9"/>
  <c r="AC59" i="9"/>
  <c r="AF78" i="9"/>
  <c r="AC77" i="9"/>
  <c r="AC80" i="9"/>
  <c r="AC79" i="9"/>
  <c r="AD77" i="9"/>
  <c r="AD59" i="9"/>
  <c r="AB59" i="9"/>
  <c r="AE59" i="9"/>
  <c r="AB62" i="9"/>
  <c r="AE62" i="9"/>
  <c r="AB61" i="9"/>
  <c r="AE61" i="9"/>
  <c r="AC62" i="9"/>
  <c r="AC63" i="9" s="1"/>
  <c r="AD80" i="9"/>
  <c r="AD79" i="9"/>
  <c r="AB77" i="9"/>
  <c r="AE77" i="9"/>
  <c r="AB80" i="9"/>
  <c r="AE80" i="9"/>
  <c r="AD61" i="9"/>
  <c r="AB79" i="9"/>
  <c r="AE79" i="9"/>
  <c r="AD62" i="9"/>
  <c r="Y36" i="11"/>
  <c r="Y34" i="11"/>
  <c r="Y38" i="11" s="1"/>
  <c r="Y35" i="11"/>
  <c r="AP14" i="9"/>
  <c r="AP18" i="9" s="1"/>
  <c r="AM14" i="9"/>
  <c r="AM17" i="9" s="1"/>
  <c r="W57" i="11"/>
  <c r="W62" i="11"/>
  <c r="AM30" i="9"/>
  <c r="Y61" i="11"/>
  <c r="Y64" i="11" s="1"/>
  <c r="AN12" i="9"/>
  <c r="AQ12" i="9" s="1"/>
  <c r="W56" i="11"/>
  <c r="Y62" i="11"/>
  <c r="AO14" i="9"/>
  <c r="AO19" i="9" s="1"/>
  <c r="AO28" i="9"/>
  <c r="AQ28" i="9" s="1"/>
  <c r="W31" i="11"/>
  <c r="Z63" i="11"/>
  <c r="AO31" i="9"/>
  <c r="X55" i="11"/>
  <c r="Z31" i="11"/>
  <c r="X31" i="11"/>
  <c r="Z62" i="11"/>
  <c r="Z64" i="11" s="1"/>
  <c r="Y37" i="11"/>
  <c r="AD37" i="9"/>
  <c r="AC37" i="9"/>
  <c r="AB37" i="9"/>
  <c r="AE36" i="9"/>
  <c r="AB35" i="9"/>
  <c r="AF35" i="9" s="1"/>
  <c r="AE37" i="9"/>
  <c r="AD36" i="9"/>
  <c r="AC36" i="9"/>
  <c r="AE38" i="9"/>
  <c r="AB36" i="9"/>
  <c r="AD38" i="9"/>
  <c r="AC38" i="9"/>
  <c r="L6" i="10"/>
  <c r="K7" i="10" s="1"/>
  <c r="R12" i="9" s="1"/>
  <c r="L5" i="10"/>
  <c r="T31" i="9"/>
  <c r="T10" i="9"/>
  <c r="R10" i="9"/>
  <c r="T30" i="9"/>
  <c r="Q29" i="9"/>
  <c r="R29" i="9"/>
  <c r="S29" i="9"/>
  <c r="T29" i="9"/>
  <c r="Q30" i="9"/>
  <c r="R30" i="9"/>
  <c r="S30" i="9"/>
  <c r="Q31" i="9"/>
  <c r="R31" i="9"/>
  <c r="R28" i="9"/>
  <c r="S28" i="9"/>
  <c r="T28" i="9"/>
  <c r="Q28" i="9"/>
  <c r="R11" i="9"/>
  <c r="S12" i="9"/>
  <c r="T13" i="9"/>
  <c r="S10" i="9"/>
  <c r="Q10" i="9"/>
  <c r="L30" i="10"/>
  <c r="K30" i="10"/>
  <c r="K29" i="10"/>
  <c r="J30" i="10"/>
  <c r="J29" i="10"/>
  <c r="J28" i="10"/>
  <c r="L23" i="10"/>
  <c r="K23" i="10"/>
  <c r="K22" i="10"/>
  <c r="J23" i="10"/>
  <c r="J22" i="10"/>
  <c r="J21" i="10"/>
  <c r="I95" i="10"/>
  <c r="I94" i="10"/>
  <c r="I93" i="10"/>
  <c r="I92" i="10"/>
  <c r="H95" i="10"/>
  <c r="H94" i="10"/>
  <c r="H93" i="10"/>
  <c r="H92" i="10"/>
  <c r="G95" i="10"/>
  <c r="G94" i="10"/>
  <c r="G93" i="10"/>
  <c r="G92" i="10"/>
  <c r="K74" i="10"/>
  <c r="K75" i="10"/>
  <c r="K76" i="10"/>
  <c r="K73" i="10"/>
  <c r="J74" i="10"/>
  <c r="J75" i="10"/>
  <c r="J76" i="10"/>
  <c r="J73" i="10"/>
  <c r="I74" i="10"/>
  <c r="I75" i="10"/>
  <c r="I76" i="10"/>
  <c r="I73" i="10"/>
  <c r="L15" i="10"/>
  <c r="S31" i="9" s="1"/>
  <c r="K15" i="10"/>
  <c r="K14" i="10"/>
  <c r="J15" i="10"/>
  <c r="J14" i="10"/>
  <c r="J13" i="10"/>
  <c r="K8" i="10"/>
  <c r="R13" i="9" s="1"/>
  <c r="L8" i="10"/>
  <c r="S13" i="9" s="1"/>
  <c r="J8" i="10"/>
  <c r="Q13" i="9" s="1"/>
  <c r="J7" i="10"/>
  <c r="Q12" i="9" s="1"/>
  <c r="J6" i="10"/>
  <c r="Q11" i="9" s="1"/>
  <c r="AD21" i="9" l="1"/>
  <c r="AF18" i="9"/>
  <c r="AO20" i="9"/>
  <c r="AM18" i="9"/>
  <c r="AF17" i="9"/>
  <c r="AB21" i="9"/>
  <c r="AF36" i="9"/>
  <c r="U31" i="9"/>
  <c r="AO17" i="9"/>
  <c r="AP17" i="9"/>
  <c r="AF62" i="9"/>
  <c r="AP39" i="9"/>
  <c r="T32" i="9"/>
  <c r="T38" i="9" s="1"/>
  <c r="AE21" i="9"/>
  <c r="AM19" i="9"/>
  <c r="AD81" i="9"/>
  <c r="U30" i="9"/>
  <c r="Q38" i="9"/>
  <c r="AF37" i="9"/>
  <c r="AP20" i="9"/>
  <c r="AP19" i="9"/>
  <c r="AM20" i="9"/>
  <c r="R32" i="9"/>
  <c r="R36" i="9" s="1"/>
  <c r="AC39" i="9"/>
  <c r="U13" i="9"/>
  <c r="U28" i="9"/>
  <c r="U29" i="9"/>
  <c r="U10" i="9"/>
  <c r="Q32" i="9"/>
  <c r="AF61" i="9"/>
  <c r="AF19" i="9"/>
  <c r="U12" i="9"/>
  <c r="AO18" i="9"/>
  <c r="AD63" i="9"/>
  <c r="AE63" i="9"/>
  <c r="AE81" i="9"/>
  <c r="AF77" i="9"/>
  <c r="AB81" i="9"/>
  <c r="AF79" i="9"/>
  <c r="AF80" i="9"/>
  <c r="AC81" i="9"/>
  <c r="AF59" i="9"/>
  <c r="AB63" i="9"/>
  <c r="AN14" i="9"/>
  <c r="X35" i="11"/>
  <c r="X34" i="11"/>
  <c r="Z35" i="11"/>
  <c r="Z37" i="11"/>
  <c r="Z36" i="11"/>
  <c r="Z34" i="11"/>
  <c r="Z38" i="11" s="1"/>
  <c r="X62" i="11"/>
  <c r="AA62" i="11" s="1"/>
  <c r="AN30" i="9"/>
  <c r="AQ30" i="9" s="1"/>
  <c r="X57" i="11"/>
  <c r="W36" i="11"/>
  <c r="W34" i="11"/>
  <c r="W35" i="11"/>
  <c r="AA35" i="11" s="1"/>
  <c r="AO32" i="9"/>
  <c r="AO35" i="9" s="1"/>
  <c r="W61" i="11"/>
  <c r="W60" i="11"/>
  <c r="W37" i="11"/>
  <c r="X37" i="11"/>
  <c r="AM31" i="9"/>
  <c r="AQ31" i="9" s="1"/>
  <c r="W63" i="11"/>
  <c r="X36" i="11"/>
  <c r="AD39" i="9"/>
  <c r="AF38" i="9"/>
  <c r="AB39" i="9"/>
  <c r="AE39" i="9"/>
  <c r="S11" i="9"/>
  <c r="S14" i="9" s="1"/>
  <c r="R14" i="9"/>
  <c r="R19" i="9" s="1"/>
  <c r="Q14" i="9"/>
  <c r="Q17" i="9" s="1"/>
  <c r="T14" i="9"/>
  <c r="T20" i="9" s="1"/>
  <c r="S32" i="9"/>
  <c r="S38" i="9" s="1"/>
  <c r="T35" i="9"/>
  <c r="G15" i="6"/>
  <c r="H15" i="6"/>
  <c r="I15" i="6"/>
  <c r="J15" i="6"/>
  <c r="K15" i="6"/>
  <c r="F15" i="6"/>
  <c r="F5" i="6"/>
  <c r="G5" i="6"/>
  <c r="I5" i="6"/>
  <c r="K5" i="6"/>
  <c r="F6" i="6"/>
  <c r="G6" i="6"/>
  <c r="I6" i="6"/>
  <c r="J6" i="6"/>
  <c r="K6" i="6"/>
  <c r="F7" i="6"/>
  <c r="J7" i="6"/>
  <c r="K7" i="6"/>
  <c r="J8" i="6"/>
  <c r="K8" i="6"/>
  <c r="F9" i="6"/>
  <c r="I9" i="6"/>
  <c r="J9" i="6"/>
  <c r="K9" i="6"/>
  <c r="F10" i="6"/>
  <c r="J10" i="6"/>
  <c r="K10" i="6"/>
  <c r="F11" i="6"/>
  <c r="I11" i="6"/>
  <c r="J11" i="6"/>
  <c r="K11" i="6"/>
  <c r="F12" i="6"/>
  <c r="I12" i="6"/>
  <c r="J12" i="6"/>
  <c r="K12" i="6"/>
  <c r="F13" i="6"/>
  <c r="I13" i="6"/>
  <c r="K13" i="6"/>
  <c r="J4" i="6"/>
  <c r="K4" i="6"/>
  <c r="F4" i="6"/>
  <c r="F18" i="6"/>
  <c r="G18" i="6"/>
  <c r="H18" i="6"/>
  <c r="I18" i="6"/>
  <c r="J18" i="6"/>
  <c r="K18" i="6"/>
  <c r="F19" i="6"/>
  <c r="G19" i="6"/>
  <c r="H19" i="6"/>
  <c r="I19" i="6"/>
  <c r="J19" i="6"/>
  <c r="K19" i="6"/>
  <c r="F20" i="6"/>
  <c r="G20" i="6"/>
  <c r="H20" i="6"/>
  <c r="I20" i="6"/>
  <c r="J20" i="6"/>
  <c r="K20" i="6"/>
  <c r="F21" i="6"/>
  <c r="G21" i="6"/>
  <c r="H21" i="6"/>
  <c r="I21" i="6"/>
  <c r="J21" i="6"/>
  <c r="K21" i="6"/>
  <c r="F22" i="6"/>
  <c r="G22" i="6"/>
  <c r="H22" i="6"/>
  <c r="I22" i="6"/>
  <c r="J22" i="6"/>
  <c r="K22" i="6"/>
  <c r="F23" i="6"/>
  <c r="G23" i="6"/>
  <c r="H23" i="6"/>
  <c r="I23" i="6"/>
  <c r="J23" i="6"/>
  <c r="K23" i="6"/>
  <c r="F24" i="6"/>
  <c r="G24" i="6"/>
  <c r="H24" i="6"/>
  <c r="I24" i="6"/>
  <c r="J24" i="6"/>
  <c r="K24" i="6"/>
  <c r="F25" i="6"/>
  <c r="G25" i="6"/>
  <c r="H25" i="6"/>
  <c r="I25" i="6"/>
  <c r="J25" i="6"/>
  <c r="K25" i="6"/>
  <c r="F26" i="6"/>
  <c r="G26" i="6"/>
  <c r="H26" i="6"/>
  <c r="I26" i="6"/>
  <c r="J26" i="6"/>
  <c r="K26" i="6"/>
  <c r="G17" i="6"/>
  <c r="H17" i="6"/>
  <c r="I17" i="6"/>
  <c r="J17" i="6"/>
  <c r="K17" i="6"/>
  <c r="F17" i="6"/>
  <c r="AG35" i="9" l="1" a="1"/>
  <c r="AG35" i="9" s="1"/>
  <c r="AO21" i="9"/>
  <c r="T36" i="9"/>
  <c r="T37" i="9"/>
  <c r="AP21" i="9"/>
  <c r="Q20" i="9"/>
  <c r="AM21" i="9"/>
  <c r="Q18" i="9"/>
  <c r="U11" i="9"/>
  <c r="BK9" i="9" s="1"/>
  <c r="Q19" i="9"/>
  <c r="AG36" i="9" a="1"/>
  <c r="AG36" i="9" s="1"/>
  <c r="R37" i="9"/>
  <c r="AG37" i="9" a="1"/>
  <c r="AG37" i="9" s="1"/>
  <c r="R38" i="9"/>
  <c r="U38" i="9" s="1"/>
  <c r="AG20" i="9" a="1"/>
  <c r="AG20" i="9" s="1"/>
  <c r="AF21" i="9"/>
  <c r="AG17" i="9" a="1"/>
  <c r="AG17" i="9" s="1"/>
  <c r="AG18" i="9" a="1"/>
  <c r="AG18" i="9" s="1"/>
  <c r="AG19" i="9" a="1"/>
  <c r="AG19" i="9" s="1"/>
  <c r="Q36" i="9"/>
  <c r="Q37" i="9"/>
  <c r="Q35" i="9"/>
  <c r="AG38" i="9" a="1"/>
  <c r="AG38" i="9" s="1"/>
  <c r="R35" i="9"/>
  <c r="AF39" i="9"/>
  <c r="AG62" i="9" a="1"/>
  <c r="AG62" i="9" s="1"/>
  <c r="AF63" i="9"/>
  <c r="AG60" i="9" a="1"/>
  <c r="AG60" i="9" s="1"/>
  <c r="AG61" i="9" a="1"/>
  <c r="AG61" i="9" s="1"/>
  <c r="AG59" i="9" a="1"/>
  <c r="AG59" i="9" s="1"/>
  <c r="AG80" i="9" a="1"/>
  <c r="AG80" i="9" s="1"/>
  <c r="AG79" i="9" a="1"/>
  <c r="AG79" i="9" s="1"/>
  <c r="AF81" i="9"/>
  <c r="AG78" i="9" a="1"/>
  <c r="AG78" i="9" s="1"/>
  <c r="AG77" i="9" a="1"/>
  <c r="AG77" i="9" s="1"/>
  <c r="AO36" i="9"/>
  <c r="AO37" i="9"/>
  <c r="AA37" i="11"/>
  <c r="AA34" i="11"/>
  <c r="W38" i="11"/>
  <c r="AA36" i="11"/>
  <c r="W64" i="11"/>
  <c r="AA60" i="11"/>
  <c r="AO38" i="9"/>
  <c r="X38" i="11"/>
  <c r="X61" i="11"/>
  <c r="AA61" i="11" s="1"/>
  <c r="X63" i="11"/>
  <c r="AA63" i="11" s="1"/>
  <c r="X60" i="11"/>
  <c r="AN18" i="9"/>
  <c r="AQ18" i="9" s="1"/>
  <c r="AN20" i="9"/>
  <c r="AQ20" i="9" s="1"/>
  <c r="AN17" i="9"/>
  <c r="AM32" i="9"/>
  <c r="AN32" i="9"/>
  <c r="AN19" i="9"/>
  <c r="AQ19" i="9" s="1"/>
  <c r="R17" i="9"/>
  <c r="R20" i="9"/>
  <c r="R18" i="9"/>
  <c r="S19" i="9"/>
  <c r="S18" i="9"/>
  <c r="S17" i="9"/>
  <c r="S20" i="9"/>
  <c r="T17" i="9"/>
  <c r="T18" i="9"/>
  <c r="T19" i="9"/>
  <c r="S36" i="9"/>
  <c r="S37" i="9"/>
  <c r="S35" i="9"/>
  <c r="T39" i="9"/>
  <c r="BK10" i="9" l="1"/>
  <c r="BK13" i="9"/>
  <c r="BJ12" i="9"/>
  <c r="BJ9" i="9"/>
  <c r="BJ11" i="9"/>
  <c r="BH11" i="9"/>
  <c r="BI12" i="9"/>
  <c r="BK12" i="9"/>
  <c r="Q39" i="9"/>
  <c r="BH10" i="9"/>
  <c r="Q21" i="9"/>
  <c r="BI10" i="9"/>
  <c r="BK11" i="9"/>
  <c r="U36" i="9"/>
  <c r="V10" i="9"/>
  <c r="BH8" i="9" s="1"/>
  <c r="BJ13" i="9"/>
  <c r="BH13" i="9"/>
  <c r="BI11" i="9"/>
  <c r="BI13" i="9"/>
  <c r="AO39" i="9"/>
  <c r="V13" i="9"/>
  <c r="BK8" i="9" s="1"/>
  <c r="V11" i="9"/>
  <c r="V12" i="9"/>
  <c r="BJ8" i="9" s="1"/>
  <c r="U37" i="9"/>
  <c r="BH9" i="9"/>
  <c r="AG82" i="9"/>
  <c r="AH77" i="9" s="1"/>
  <c r="AG40" i="9"/>
  <c r="AH35" i="9" s="1"/>
  <c r="BH12" i="9"/>
  <c r="U19" i="9"/>
  <c r="R39" i="9"/>
  <c r="AG22" i="9"/>
  <c r="AH17" i="9" s="1"/>
  <c r="AG64" i="9"/>
  <c r="AH59" i="9" s="1"/>
  <c r="AN21" i="9"/>
  <c r="AQ17" i="9"/>
  <c r="AB34" i="11" a="1"/>
  <c r="AB34" i="11" s="1"/>
  <c r="AB36" i="11" a="1"/>
  <c r="AB36" i="11" s="1"/>
  <c r="AB35" i="11" a="1"/>
  <c r="AB35" i="11" s="1"/>
  <c r="AB37" i="11" a="1"/>
  <c r="AB37" i="11" s="1"/>
  <c r="AM35" i="9"/>
  <c r="AM36" i="9"/>
  <c r="AM37" i="9"/>
  <c r="X64" i="11"/>
  <c r="AB60" i="11" a="1"/>
  <c r="AB60" i="11" s="1"/>
  <c r="AB63" i="11" a="1"/>
  <c r="AB63" i="11" s="1"/>
  <c r="AB62" i="11" a="1"/>
  <c r="AB62" i="11" s="1"/>
  <c r="AB61" i="11" a="1"/>
  <c r="AB61" i="11" s="1"/>
  <c r="AN35" i="9"/>
  <c r="AN38" i="9"/>
  <c r="AN36" i="9"/>
  <c r="AN37" i="9"/>
  <c r="AM38" i="9"/>
  <c r="R21" i="9"/>
  <c r="U17" i="9"/>
  <c r="U18" i="9"/>
  <c r="U20" i="9"/>
  <c r="T21" i="9"/>
  <c r="S21" i="9"/>
  <c r="S39" i="9"/>
  <c r="U35" i="9"/>
  <c r="BH14" i="9" l="1"/>
  <c r="AR32" i="9"/>
  <c r="V32" i="9"/>
  <c r="BI9" i="9"/>
  <c r="BK14" i="9"/>
  <c r="V14" i="9"/>
  <c r="BI8" i="9"/>
  <c r="BI14" i="9" s="1"/>
  <c r="AG14" i="9"/>
  <c r="BJ10" i="9"/>
  <c r="BJ14" i="9" s="1"/>
  <c r="AR14" i="9"/>
  <c r="AG32" i="9"/>
  <c r="V17" i="9" a="1"/>
  <c r="V17" i="9" s="1"/>
  <c r="AQ36" i="9"/>
  <c r="AQ37" i="9"/>
  <c r="AN39" i="9"/>
  <c r="AC60" i="11"/>
  <c r="AQ38" i="9"/>
  <c r="AM39" i="9"/>
  <c r="AQ35" i="9"/>
  <c r="AC34" i="11"/>
  <c r="AR17" i="9" a="1"/>
  <c r="AR17" i="9" s="1"/>
  <c r="AQ21" i="9"/>
  <c r="AR19" i="9" a="1"/>
  <c r="AR19" i="9" s="1"/>
  <c r="AR20" i="9" a="1"/>
  <c r="AR20" i="9" s="1"/>
  <c r="AR18" i="9" a="1"/>
  <c r="AR18" i="9" s="1"/>
  <c r="U21" i="9"/>
  <c r="V20" i="9" a="1"/>
  <c r="V20" i="9" s="1"/>
  <c r="V18" i="9" a="1"/>
  <c r="V18" i="9" s="1"/>
  <c r="V19" i="9" a="1"/>
  <c r="V19" i="9" s="1"/>
  <c r="V37" i="9" a="1"/>
  <c r="V37" i="9" s="1"/>
  <c r="U39" i="9"/>
  <c r="V36" i="9" a="1"/>
  <c r="V36" i="9" s="1"/>
  <c r="V38" i="9" a="1"/>
  <c r="V38" i="9" s="1"/>
  <c r="V35" i="9" a="1"/>
  <c r="V35" i="9" s="1"/>
  <c r="V40" i="9" l="1"/>
  <c r="W35" i="9" s="1"/>
  <c r="N12" i="10" s="1"/>
  <c r="AR22" i="9"/>
  <c r="AS17" i="9" s="1"/>
  <c r="AR35" i="9" a="1"/>
  <c r="AR35" i="9" s="1"/>
  <c r="AQ39" i="9"/>
  <c r="AR38" i="9" a="1"/>
  <c r="AR38" i="9" s="1"/>
  <c r="AR36" i="9" a="1"/>
  <c r="AR36" i="9" s="1"/>
  <c r="AR37" i="9" a="1"/>
  <c r="AR37" i="9" s="1"/>
  <c r="V22" i="9"/>
  <c r="W17" i="9" s="1"/>
  <c r="N5" i="10" s="1"/>
  <c r="AR40" i="9" l="1"/>
  <c r="AS35" i="9" s="1"/>
  <c r="AV25"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<sst xmlns="http://schemas.openxmlformats.org/spreadsheetml/2006/main" count="1374" uniqueCount="249">
  <si>
    <t>Weight</t>
  </si>
  <si>
    <t>Scenario no.</t>
  </si>
  <si>
    <t>Scenarios</t>
  </si>
  <si>
    <t>Environmental Impact</t>
  </si>
  <si>
    <t>Cross-Border Connectivity &amp; Network Integration</t>
  </si>
  <si>
    <t>Cost (CAPEX + O&amp;M)</t>
  </si>
  <si>
    <t>Complexity/ Feasibility</t>
  </si>
  <si>
    <t>Socio Economic Benefits</t>
  </si>
  <si>
    <t>Safety &amp; Resilience</t>
  </si>
  <si>
    <t>Railway axis Berlin-Verona/Milano-Bologna-Napoli-Messina-Palermo</t>
  </si>
  <si>
    <t>High-speed railway axis of southwest Europe</t>
  </si>
  <si>
    <t>Railway axis Cork–Dublin–Belfast–Stranraer</t>
  </si>
  <si>
    <t>Malpensa airport</t>
  </si>
  <si>
    <t>Øresund bridge</t>
  </si>
  <si>
    <t>Nordic Triangle railway/road axis</t>
  </si>
  <si>
    <t>Road axis United Kingdom/Ireland/Benelux</t>
  </si>
  <si>
    <t>Freight railway axis Sines/Algeciras-Madrid-Paris</t>
  </si>
  <si>
    <t>Waterway axis Rhine/Meuse-Main-Danube</t>
  </si>
  <si>
    <t>Railway axis Fehmarn belt</t>
  </si>
  <si>
    <t>weights are just my opinion</t>
  </si>
  <si>
    <t>overall very low, no new areas for high impact, improvements break even at latest 15 years (low weight)</t>
  </si>
  <si>
    <t xml:space="preserve">no. of countries. but some of the biggest benefits would come from no. 20 for many countries
</t>
  </si>
  <si>
    <t xml:space="preserve">cost/benefit would be better, this one disincentivize larger projects. based on ranges in the key. wight for cost. weight for cost/benefit is under socio-economic
</t>
  </si>
  <si>
    <t xml:space="preserve">mostly complexity, all are feasible (on track to be operational latest 2050)
</t>
  </si>
  <si>
    <t xml:space="preserve">for now used as cost/benefit
</t>
  </si>
  <si>
    <t>Projected cost/benefit</t>
  </si>
  <si>
    <t>Average</t>
  </si>
  <si>
    <t>SC1</t>
  </si>
  <si>
    <t>SC3</t>
  </si>
  <si>
    <t>SC9</t>
  </si>
  <si>
    <t>SC10</t>
  </si>
  <si>
    <t>SC11</t>
  </si>
  <si>
    <t>SC12</t>
  </si>
  <si>
    <t>SC13</t>
  </si>
  <si>
    <t>SC16</t>
  </si>
  <si>
    <t>SC18</t>
  </si>
  <si>
    <t>SC20</t>
  </si>
  <si>
    <t>Min/Max Difference</t>
  </si>
  <si>
    <t>Rank</t>
  </si>
  <si>
    <t>Cross-Bprder Connectivity &amp; Network Integration</t>
  </si>
  <si>
    <t>Major GHG Reduction, enables substantial modal shift (e.g shifts road use into electrified rail)</t>
  </si>
  <si>
    <r>
      <t xml:space="preserve">Eliminates critical cross-border </t>
    </r>
    <r>
      <rPr>
        <b/>
        <sz val="11"/>
        <color theme="1"/>
        <rFont val="Calibri"/>
        <family val="2"/>
        <scheme val="minor"/>
      </rPr>
      <t>bottleneck at the EU level</t>
    </r>
  </si>
  <si>
    <t>Very low capex (road upgrades) with low O&amp;M cost (estimated &lt; 1 billion Euros)</t>
  </si>
  <si>
    <t>Low Complexity, upgrades to existing facility that would require &lt;2 years to complete</t>
  </si>
  <si>
    <t>Regional Development/ job creation, cohesion in less develoed region, improved accessibility for many citizens (EU level)</t>
  </si>
  <si>
    <t>Major improvements in transport safety, climate resilience and infrastructure security</t>
  </si>
  <si>
    <t>Significant Reduction in pollutants due to nodal shift but cannot be achieved without some environmental tradeoff</t>
  </si>
  <si>
    <r>
      <t>Provides meaningful cross-border or interregional linkage at the</t>
    </r>
    <r>
      <rPr>
        <b/>
        <sz val="11"/>
        <color theme="1"/>
        <rFont val="Calibri"/>
        <family val="2"/>
        <scheme val="minor"/>
      </rPr>
      <t xml:space="preserve"> EU level</t>
    </r>
  </si>
  <si>
    <t>Moderate CAPEX (Rail upgrade, airport creation) - (1-3 billion Euros)</t>
  </si>
  <si>
    <t>Medium engineering complexity (rail &amp; ground tunnel creation, etc.), requiring less than a decade to complete (2-5 years)</t>
  </si>
  <si>
    <t>Strong benefits with clear regional spillover effect</t>
  </si>
  <si>
    <t>Major improvements in either safety or resilience in EU level</t>
  </si>
  <si>
    <t>Upgrades that results in moderate Reduction; contributes indirectly (e.g improves efficiency thus less CO2 or supports electrification)</t>
  </si>
  <si>
    <r>
      <t>Improves connectivity at the</t>
    </r>
    <r>
      <rPr>
        <b/>
        <sz val="11"/>
        <color theme="1"/>
        <rFont val="Calibri"/>
        <family val="2"/>
        <scheme val="minor"/>
      </rPr>
      <t xml:space="preserve"> national/ regional level.</t>
    </r>
    <r>
      <rPr>
        <sz val="11"/>
        <color theme="1"/>
        <rFont val="Calibri"/>
        <family val="2"/>
        <scheme val="minor"/>
      </rPr>
      <t xml:space="preserve"> Connects between 2 countries and improves EU connectivity</t>
    </r>
  </si>
  <si>
    <t>Medium CAPEX (Rail Creation) - (3-6 billion Euros)</t>
  </si>
  <si>
    <t>Medium engineering complexity (rail &amp; ground tunnel creation, etc.), requiring less than a decade to complete (5-10 years)</t>
  </si>
  <si>
    <t>Benefits mainly in the local/ regional level. Offers long-term jobs though limited to a region</t>
  </si>
  <si>
    <t>Moderate improvements in either safety or resilience in EU level</t>
  </si>
  <si>
    <t>Limited positive environmental effects. Potential increase in emissions, but some effort to control emissions (carbon accreditation, sustainability reporting etc.)</t>
  </si>
  <si>
    <r>
      <t xml:space="preserve">Connectivity gains at the </t>
    </r>
    <r>
      <rPr>
        <b/>
        <sz val="11"/>
        <color theme="1"/>
        <rFont val="Calibri"/>
        <family val="2"/>
        <scheme val="minor"/>
      </rPr>
      <t>local level</t>
    </r>
    <r>
      <rPr>
        <sz val="11"/>
        <color theme="1"/>
        <rFont val="Calibri"/>
        <family val="2"/>
        <scheme val="minor"/>
      </rPr>
      <t>. Mostly improves connectivity of one country, with indirect connectivity imrovement across EU (e.g easier accesibility to existing networks)</t>
    </r>
  </si>
  <si>
    <t>Very High CAPEX or high maintenance (estimated 6-10 billion Euros)</t>
  </si>
  <si>
    <t>High engineering complexity (underwater tunneling, etc), OR encompassing multiple countries in scope and would require decades to complete (&gt;10 years)</t>
  </si>
  <si>
    <t>marginal &amp; localized benefits with limited impact. Offers time-limited jobs usually related to construction</t>
  </si>
  <si>
    <t>Contributions in either safety or resilience in the local/ regional level</t>
  </si>
  <si>
    <t>No measurable environmental benefit/ risk of negative impact</t>
  </si>
  <si>
    <r>
      <rPr>
        <b/>
        <sz val="11"/>
        <color theme="1"/>
        <rFont val="Calibri"/>
        <family val="2"/>
        <scheme val="minor"/>
      </rPr>
      <t>No added value</t>
    </r>
    <r>
      <rPr>
        <sz val="11"/>
        <color theme="1"/>
        <rFont val="Calibri"/>
        <family val="2"/>
        <scheme val="minor"/>
      </rPr>
      <t xml:space="preserve"> for EU-level integration. Improves connectivity for a country only, no EU benefit</t>
    </r>
  </si>
  <si>
    <t>Very High CAPEX (Tunneling) and high maintenance (estimated &gt; 10 billion Euros)</t>
  </si>
  <si>
    <t>High engineering complexity (under water tunneling, etc.), AND encompassing multiple countries in scope and would require decades to complete (&gt;10 years)</t>
  </si>
  <si>
    <t>no significant contribution</t>
  </si>
  <si>
    <t>No improvement or potential risk unaddressed</t>
  </si>
  <si>
    <t>Criteria</t>
  </si>
  <si>
    <t>C5</t>
  </si>
  <si>
    <t>C6</t>
  </si>
  <si>
    <t>Name</t>
  </si>
  <si>
    <t>Labour market and sociographic job distribution</t>
  </si>
  <si>
    <t>Territorial cohesion</t>
  </si>
  <si>
    <t>Alternatives</t>
  </si>
  <si>
    <t>S01</t>
  </si>
  <si>
    <t>S10</t>
  </si>
  <si>
    <t>S18</t>
  </si>
  <si>
    <t>S20</t>
  </si>
  <si>
    <t>Munich - Verona</t>
  </si>
  <si>
    <t>Hungary - Romania + Bulgary - Greece</t>
  </si>
  <si>
    <t>Fehmarn Belt (incl. upgrades)</t>
  </si>
  <si>
    <t>Upgrades in Cologne</t>
  </si>
  <si>
    <t>AHP</t>
  </si>
  <si>
    <t>Criterion 5</t>
  </si>
  <si>
    <t>Criterion 6</t>
  </si>
  <si>
    <t>REMBRANDT</t>
  </si>
  <si>
    <t>Explanation</t>
  </si>
  <si>
    <t>Capital intensive tunnel construction and long upgrades (55 km new Tunnel railway, 293 + 326 rail upgrades)</t>
  </si>
  <si>
    <t>Bridge + new rail line + upgrades rail (19 km new roads, 19 km new rail, 358 + 490 rail upgrades)</t>
  </si>
  <si>
    <t>Localized upgrades - 625 km road upgrades, 130 + 246 rail upgrades</t>
  </si>
  <si>
    <t>New Roads (km)</t>
  </si>
  <si>
    <t>New Rail (km)</t>
  </si>
  <si>
    <t>Upgrade passenger rail (km)</t>
  </si>
  <si>
    <t>Upgrade Freight rail (km)</t>
  </si>
  <si>
    <t>Extremely large total length of works (456 km new roads, 52 km new railways, 850 + 931 km upgrade rail)</t>
  </si>
  <si>
    <t>Road Upgrade (km)</t>
  </si>
  <si>
    <t>Additional</t>
  </si>
  <si>
    <t>This creates more job</t>
  </si>
  <si>
    <t>than</t>
  </si>
  <si>
    <t>Source</t>
  </si>
  <si>
    <t>https://t4america.org/2021/03/15/road-and-public-transit-maintenance-creates-more-jobs-than-building-new-highways/</t>
  </si>
  <si>
    <t>Road Upgrades per km</t>
  </si>
  <si>
    <t>New Roads per km</t>
  </si>
  <si>
    <t>Bridge works</t>
  </si>
  <si>
    <t>Road and Rail works</t>
  </si>
  <si>
    <t>Net Jobs created and duration</t>
  </si>
  <si>
    <t>Tunnel Construction  - 55 km</t>
  </si>
  <si>
    <t>Tunnel Construction underwater - 19 km</t>
  </si>
  <si>
    <t>entries &gt;1 mean row i preferred over column j by that factor;</t>
  </si>
  <si>
    <t>Total Rail works</t>
  </si>
  <si>
    <t>Total Road works</t>
  </si>
  <si>
    <t>Rail works</t>
  </si>
  <si>
    <t>Road works</t>
  </si>
  <si>
    <t>https://www.smartgrowthamerica.org/knowledge-hub/news/american-jobs-act-should-use-public-transportation-and-road-repair-to-achieve-job-creation-goals/</t>
  </si>
  <si>
    <t>Additional civil works befor road and rail</t>
  </si>
  <si>
    <t>Works (jobs + rail)</t>
  </si>
  <si>
    <t>Cities connected</t>
  </si>
  <si>
    <t>Countries connected</t>
  </si>
  <si>
    <t>Germany, Austria, Italy</t>
  </si>
  <si>
    <t>https://www.tandfonline.com/doi/full/10.1080/09654313.2022.2143713#d1e381</t>
  </si>
  <si>
    <t>Total Terrirorial Cohesion Index</t>
  </si>
  <si>
    <t>Munich, Kufstein, Innsbruck, Fortezza, Verona</t>
  </si>
  <si>
    <t>Kulata, Calafat, Arad, Vraca-Lugoj, Timisoara-Hungarian</t>
  </si>
  <si>
    <t>Puttgarden, Roedby, Copenhagen, Hamburg, Hannover, Bremen</t>
  </si>
  <si>
    <t>Frankfurt, Mannheim, cologne</t>
  </si>
  <si>
    <t>Region</t>
  </si>
  <si>
    <t>Munich</t>
  </si>
  <si>
    <t>Kufstein</t>
  </si>
  <si>
    <t>Innsbruck</t>
  </si>
  <si>
    <t>Fortezza</t>
  </si>
  <si>
    <t>Verona</t>
  </si>
  <si>
    <t>TC</t>
  </si>
  <si>
    <t>Kulata</t>
  </si>
  <si>
    <t>Calafat</t>
  </si>
  <si>
    <t>Arad</t>
  </si>
  <si>
    <t>Vraca</t>
  </si>
  <si>
    <t>Lugoj</t>
  </si>
  <si>
    <t>Timisoara</t>
  </si>
  <si>
    <t>Puttgarden</t>
  </si>
  <si>
    <t>Roedby</t>
  </si>
  <si>
    <t>Copenhagen</t>
  </si>
  <si>
    <t>Hamburg</t>
  </si>
  <si>
    <t>Hannover</t>
  </si>
  <si>
    <t>Bremen</t>
  </si>
  <si>
    <t>Frankfurt</t>
  </si>
  <si>
    <t>Mannheim</t>
  </si>
  <si>
    <t>Cologne</t>
  </si>
  <si>
    <t>Min</t>
  </si>
  <si>
    <t>Max</t>
  </si>
  <si>
    <t>https://www.youtube.com/watch?v=FDvrT60El9Y</t>
  </si>
  <si>
    <t>Social</t>
  </si>
  <si>
    <t>Sum</t>
  </si>
  <si>
    <t>Avg</t>
  </si>
  <si>
    <t>Lambda</t>
  </si>
  <si>
    <t>Lambda max</t>
  </si>
  <si>
    <t>CI</t>
  </si>
  <si>
    <t>C3</t>
  </si>
  <si>
    <t>C4</t>
  </si>
  <si>
    <t>Ecosystem and Biodiversity Loss</t>
  </si>
  <si>
    <t>Non-renewable dependence - (construction + operational)</t>
  </si>
  <si>
    <t>Scenario</t>
  </si>
  <si>
    <t>Eco-system &amp; Biodiversity Score (higher=better)</t>
  </si>
  <si>
    <t>SC10 is rated worst (0) because it has by far the largest amount of new infrastructure, especially roads, implying the highest land-take and fragmentation. SC20 is best (100) because it focuses on upgrades in existing corridors. SC1 and SC18 sit in between: SC1 has significant new tunnel and construction footprint, while SC18 has moderate new works and upgrades.</t>
  </si>
  <si>
    <t>Non-renewable Dependence Score</t>
  </si>
  <si>
    <t>SC1 is best (100) because it is almost entirely rail-oriented, supporting a shift away from oil-dependent road transport. SC10 is worst (0) as it massively expands the road network, reinforcing oil dependence. SC18 mixes new road and new rail but leans more than SC20 toward improving rail, so it gets a higher score than SC20, which mainly upgrades roads.</t>
  </si>
  <si>
    <t xml:space="preserve">Criteria </t>
  </si>
  <si>
    <t>C1</t>
  </si>
  <si>
    <t>C2</t>
  </si>
  <si>
    <t>Intergration of European Transport</t>
  </si>
  <si>
    <t>Location of companies and logiqtic centers</t>
  </si>
  <si>
    <t>Sc1</t>
  </si>
  <si>
    <t>Sc10</t>
  </si>
  <si>
    <t>Sc18</t>
  </si>
  <si>
    <t>Sc20</t>
  </si>
  <si>
    <t xml:space="preserve">Interaction with the bussiest transport routes </t>
  </si>
  <si>
    <t>Ecosystem and biodiversity loss</t>
  </si>
  <si>
    <t>Environmental</t>
  </si>
  <si>
    <t>Non-renewable dependance</t>
  </si>
  <si>
    <t>Upgrade railway between munchen and kufstein</t>
  </si>
  <si>
    <t>Upgrade railway southern end of brenner tunnel and verona</t>
  </si>
  <si>
    <t>New railway tunnel between Innsbruck and Fortezza (brenner tunnel)</t>
  </si>
  <si>
    <t>Upgrade and new railway between Kulata and Calafat</t>
  </si>
  <si>
    <t>Upgrade railway between calafat and arad</t>
  </si>
  <si>
    <t>Upgrade motorway between Vraca-Lugoj, Timisoara-hungarion border, and 80km nort of Kulata</t>
  </si>
  <si>
    <t>Construction of rail/road bridge between fehrman strait, puttgarden and roedby</t>
  </si>
  <si>
    <t>upgrade of acces routes to planned fehrman belt between Copenhagen-roedby and puttgarden-hamburg</t>
  </si>
  <si>
    <t>New railwar between hannover and hambur/bremen</t>
  </si>
  <si>
    <t>New railway between frankfurt and mannheim</t>
  </si>
  <si>
    <t>upgrading rail and road corridors around cologne</t>
  </si>
  <si>
    <t> 11.55 million passenger cars</t>
  </si>
  <si>
    <t>40 million tonnes of freight per year</t>
  </si>
  <si>
    <t>1.44 million viechicles in total</t>
  </si>
  <si>
    <t>15.26 milliones tonnes of freight per year</t>
  </si>
  <si>
    <t>1.2 million passengers yearly</t>
  </si>
  <si>
    <t xml:space="preserve">56.16 million tonnes of freight annually </t>
  </si>
  <si>
    <t>56 million tonnes of freight annually (will grow drastically)</t>
  </si>
  <si>
    <t>15 million yearly passengers</t>
  </si>
  <si>
    <t>AVG</t>
  </si>
  <si>
    <t>Rembrandt</t>
  </si>
  <si>
    <t>Connextions of industrial zones and hubs</t>
  </si>
  <si>
    <t>GDP (in billion)</t>
  </si>
  <si>
    <t>total</t>
  </si>
  <si>
    <t>Economic</t>
  </si>
  <si>
    <t>Integration of European transport</t>
  </si>
  <si>
    <t>Location of companies and logistic centers</t>
  </si>
  <si>
    <t>1. Ecosystem/Biodiversity Impact (from weakest → strongest impact)</t>
  </si>
  <si>
    <t>Least impact</t>
  </si>
  <si>
    <r>
      <t xml:space="preserve">→ </t>
    </r>
    <r>
      <rPr>
        <b/>
        <sz val="11"/>
        <color theme="1"/>
        <rFont val="Calibri"/>
        <family val="2"/>
        <scheme val="minor"/>
      </rPr>
      <t>Sc 20</t>
    </r>
    <r>
      <rPr>
        <sz val="11"/>
        <color theme="1"/>
        <rFont val="Calibri"/>
        <family val="2"/>
        <scheme val="minor"/>
      </rPr>
      <t xml:space="preserve"> (urban, avoids Natura 2000 sites)</t>
    </r>
  </si>
  <si>
    <r>
      <t xml:space="preserve">→ </t>
    </r>
    <r>
      <rPr>
        <b/>
        <sz val="11"/>
        <color theme="1"/>
        <rFont val="Calibri"/>
        <family val="2"/>
        <scheme val="minor"/>
      </rPr>
      <t>Sc 10</t>
    </r>
    <r>
      <rPr>
        <sz val="11"/>
        <color theme="1"/>
        <rFont val="Calibri"/>
        <family val="2"/>
        <scheme val="minor"/>
      </rPr>
      <t xml:space="preserve"> (fragmented, small Natura 2000 % impacts)</t>
    </r>
  </si>
  <si>
    <r>
      <t xml:space="preserve">→ </t>
    </r>
    <r>
      <rPr>
        <b/>
        <sz val="11"/>
        <color theme="1"/>
        <rFont val="Calibri"/>
        <family val="2"/>
        <scheme val="minor"/>
      </rPr>
      <t>Sc 1</t>
    </r>
    <r>
      <rPr>
        <sz val="11"/>
        <color theme="1"/>
        <rFont val="Calibri"/>
        <family val="2"/>
        <scheme val="minor"/>
      </rPr>
      <t xml:space="preserve"> (Alpine ecosystem risk, groundwater, habitat fragmentation)</t>
    </r>
  </si>
  <si>
    <r>
      <t xml:space="preserve">→ </t>
    </r>
    <r>
      <rPr>
        <b/>
        <sz val="11"/>
        <color theme="1"/>
        <rFont val="Calibri"/>
        <family val="2"/>
        <scheme val="minor"/>
      </rPr>
      <t>Sc 18</t>
    </r>
    <r>
      <rPr>
        <sz val="11"/>
        <color theme="1"/>
        <rFont val="Calibri"/>
        <family val="2"/>
        <scheme val="minor"/>
      </rPr>
      <t xml:space="preserve"> (largest quantified marine impacts + dredging + sensitive species)</t>
    </r>
  </si>
  <si>
    <t>Most impact</t>
  </si>
  <si>
    <t>2. Fossil-Fuel Dependency (from best → worst)</t>
  </si>
  <si>
    <t>Most reduction in fossil-fuel dependence</t>
  </si>
  <si>
    <r>
      <t xml:space="preserve">→ </t>
    </r>
    <r>
      <rPr>
        <b/>
        <sz val="11"/>
        <color theme="1"/>
        <rFont val="Calibri"/>
        <family val="2"/>
        <scheme val="minor"/>
      </rPr>
      <t>Sc 1</t>
    </r>
    <r>
      <rPr>
        <sz val="11"/>
        <color theme="1"/>
        <rFont val="Calibri"/>
        <family val="2"/>
        <scheme val="minor"/>
      </rPr>
      <t xml:space="preserve"> (strong road→rail shift)</t>
    </r>
  </si>
  <si>
    <r>
      <t xml:space="preserve">→ </t>
    </r>
    <r>
      <rPr>
        <b/>
        <sz val="11"/>
        <color theme="1"/>
        <rFont val="Calibri"/>
        <family val="2"/>
        <scheme val="minor"/>
      </rPr>
      <t>Sc 20</t>
    </r>
    <r>
      <rPr>
        <sz val="11"/>
        <color theme="1"/>
        <rFont val="Calibri"/>
        <family val="2"/>
        <scheme val="minor"/>
      </rPr>
      <t xml:space="preserve"> (freight-reliability → diesel reduction)</t>
    </r>
  </si>
  <si>
    <r>
      <t xml:space="preserve">→ </t>
    </r>
    <r>
      <rPr>
        <b/>
        <sz val="11"/>
        <color theme="1"/>
        <rFont val="Calibri"/>
        <family val="2"/>
        <scheme val="minor"/>
      </rPr>
      <t>Sc 10</t>
    </r>
    <r>
      <rPr>
        <sz val="11"/>
        <color theme="1"/>
        <rFont val="Calibri"/>
        <family val="2"/>
        <scheme val="minor"/>
      </rPr>
      <t xml:space="preserve"> (moderate modal shift potential)</t>
    </r>
  </si>
  <si>
    <r>
      <t xml:space="preserve">→ </t>
    </r>
    <r>
      <rPr>
        <b/>
        <sz val="11"/>
        <color theme="1"/>
        <rFont val="Calibri"/>
        <family val="2"/>
        <scheme val="minor"/>
      </rPr>
      <t>Sc 18</t>
    </r>
    <r>
      <rPr>
        <sz val="11"/>
        <color theme="1"/>
        <rFont val="Calibri"/>
        <family val="2"/>
        <scheme val="minor"/>
      </rPr>
      <t xml:space="preserve"> (big road-traffic growth risk → diesel increase)</t>
    </r>
  </si>
  <si>
    <t>Least reduction / possible increase</t>
  </si>
  <si>
    <t>based on reports from the relevant countries on individual parts of the larger scenarios</t>
  </si>
  <si>
    <t>taken into account: modal shift, energy mix, traffic growth</t>
  </si>
  <si>
    <t>sum</t>
  </si>
  <si>
    <t>Fossil Fuel Dependancy</t>
  </si>
  <si>
    <t>Score (Geometric Mean)</t>
  </si>
  <si>
    <t>Weights</t>
  </si>
  <si>
    <t>Geometric Mean Scores</t>
  </si>
  <si>
    <t>AHP Score</t>
  </si>
  <si>
    <t>Geo Mean</t>
  </si>
  <si>
    <t>Normalized</t>
  </si>
  <si>
    <t>Criterias</t>
  </si>
  <si>
    <t>REMBRANDT Score</t>
  </si>
  <si>
    <t>Baseline</t>
  </si>
  <si>
    <t>Enviromentalist</t>
  </si>
  <si>
    <t>Workforce</t>
  </si>
  <si>
    <t>Criterias - Sensitivity Analysis</t>
  </si>
  <si>
    <t>Environmentalist</t>
  </si>
  <si>
    <t>Corporations</t>
  </si>
  <si>
    <t>REMBRANDT Normalized Score</t>
  </si>
  <si>
    <t>Factor 1</t>
  </si>
  <si>
    <t>Geomean</t>
  </si>
  <si>
    <t>Factor 1.7</t>
  </si>
  <si>
    <t>Factor 2</t>
  </si>
  <si>
    <t>Factor 2.7</t>
  </si>
  <si>
    <t>Factor</t>
  </si>
  <si>
    <t>Final Value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</si>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</sst>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 x14ac:knownFonts="1">
    <font>
      <sz val="11"/>
      <color theme="1"/>
      <name val="Calibri"/>
      <family val="2"/>
      <scheme val="minor"/>
    </font>
    <font>
      <u/>
      <sz val="11"/>
      <color theme="10"/>
      <name val="Calibri"/>
      <family val="2"/>
      <scheme val="minor"/>
    </font>
    <font>
      <b/>
      <sz val="11"/>
      <color theme="1"/>
      <name val="Calibri"/>
      <family val="2"/>
      <scheme val="minor"/>
    </font>
    <font>
      <b/>
      <sz val="22"/>
      <color theme="1"/>
      <name val="Calibri"/>
      <family val="2"/>
      <scheme val="minor"/>
    </font>
    <font>
      <sz val="10"/>
      <name val="Arial"/>
      <family val="2"/>
    </font>
    <font>
      <b/>
      <sz val="18"/>
      <color theme="1"/>
      <name val="Calibri"/>
      <family val="2"/>
      <scheme val="minor"/>
    </font>
    <font>
      <sz val="10"/>
      <name val="Arial"/>
    </font>
    <font>
      <sz val="10"/>
      <color theme="1"/>
      <name val="Calibri"/>
      <family val="2"/>
      <scheme val="minor"/>
    </font>
    <font>
      <sz val="8"/>
      <name val="Calibri"/>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6" tint="-0.249977111117893"/>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2" tint="-9.9978637043366805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xf numFmtId="0" fontId="4" fillId="0" borderId="0"/>
  </cellStyleXfs>
  <cellXfs count="75">
    <xf numFmtId="0" fontId="0" fillId="0" borderId="0" xfId="0"/>
    <xf numFmtId="0" fontId="0" fillId="0" borderId="0" xfId="0" applyAlignment="1">
      <alignment wrapText="1"/>
    </xf>
    <xf numFmtId="0" fontId="0" fillId="0" borderId="1" xfId="0" applyBorder="1"/>
    <xf numFmtId="0" fontId="1" fillId="0" borderId="1" xfId="1" applyBorder="1"/>
    <xf numFmtId="0" fontId="1" fillId="0" borderId="1" xfId="1" applyBorder="1" applyAlignment="1">
      <alignment vertical="center" wrapText="1"/>
    </xf>
    <xf numFmtId="0" fontId="0" fillId="0" borderId="2" xfId="0" applyBorder="1"/>
    <xf numFmtId="0" fontId="0" fillId="0" borderId="3" xfId="0" applyBorder="1"/>
    <xf numFmtId="0" fontId="0" fillId="0" borderId="3" xfId="0" applyBorder="1" applyAlignment="1">
      <alignment horizontal="center" vertical="center" wrapText="1"/>
    </xf>
    <xf numFmtId="0" fontId="0" fillId="0" borderId="5" xfId="0" applyBorder="1"/>
    <xf numFmtId="0" fontId="0" fillId="0" borderId="7" xfId="0" applyBorder="1"/>
    <xf numFmtId="0" fontId="1" fillId="0" borderId="8" xfId="1" applyBorder="1"/>
    <xf numFmtId="0" fontId="0" fillId="0" borderId="8" xfId="0" applyBorder="1"/>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xf numFmtId="0" fontId="0" fillId="2" borderId="6" xfId="0" applyFill="1" applyBorder="1"/>
    <xf numFmtId="0" fontId="0" fillId="2" borderId="8" xfId="0" applyFill="1" applyBorder="1"/>
    <xf numFmtId="0" fontId="0" fillId="2" borderId="9" xfId="0" applyFill="1" applyBorder="1"/>
    <xf numFmtId="0" fontId="2" fillId="0" borderId="2"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3" borderId="5" xfId="0" applyFont="1" applyFill="1" applyBorder="1" applyAlignment="1">
      <alignment horizontal="center" vertical="center"/>
    </xf>
    <xf numFmtId="0" fontId="0" fillId="3" borderId="1" xfId="0" applyFill="1" applyBorder="1" applyAlignment="1">
      <alignment vertical="top" wrapText="1"/>
    </xf>
    <xf numFmtId="0" fontId="0" fillId="3" borderId="6" xfId="0" applyFill="1" applyBorder="1" applyAlignment="1">
      <alignment vertical="top" wrapText="1"/>
    </xf>
    <xf numFmtId="0" fontId="3" fillId="4" borderId="5" xfId="0" applyFont="1" applyFill="1" applyBorder="1" applyAlignment="1">
      <alignment horizontal="center" vertical="center"/>
    </xf>
    <xf numFmtId="0" fontId="0" fillId="4" borderId="1" xfId="0" applyFill="1" applyBorder="1" applyAlignment="1">
      <alignment vertical="top" wrapText="1"/>
    </xf>
    <xf numFmtId="0" fontId="0" fillId="4" borderId="6" xfId="0" applyFill="1" applyBorder="1" applyAlignment="1">
      <alignment vertical="top" wrapText="1"/>
    </xf>
    <xf numFmtId="0" fontId="3" fillId="5" borderId="5" xfId="0" applyFont="1" applyFill="1" applyBorder="1" applyAlignment="1">
      <alignment horizontal="center" vertical="center"/>
    </xf>
    <xf numFmtId="0" fontId="0" fillId="5" borderId="1" xfId="0" applyFill="1" applyBorder="1" applyAlignment="1">
      <alignment vertical="top" wrapText="1"/>
    </xf>
    <xf numFmtId="0" fontId="0" fillId="5" borderId="6" xfId="0" applyFill="1" applyBorder="1" applyAlignment="1">
      <alignment vertical="top" wrapText="1"/>
    </xf>
    <xf numFmtId="0" fontId="3" fillId="6" borderId="5" xfId="0" applyFont="1" applyFill="1" applyBorder="1" applyAlignment="1">
      <alignment horizontal="center" vertical="center"/>
    </xf>
    <xf numFmtId="0" fontId="0" fillId="6" borderId="1" xfId="0" applyFill="1" applyBorder="1" applyAlignment="1">
      <alignment vertical="top" wrapText="1"/>
    </xf>
    <xf numFmtId="0" fontId="0" fillId="6" borderId="6" xfId="0" applyFill="1" applyBorder="1" applyAlignment="1">
      <alignment vertical="top" wrapText="1"/>
    </xf>
    <xf numFmtId="0" fontId="3" fillId="7" borderId="7" xfId="0" applyFont="1" applyFill="1" applyBorder="1" applyAlignment="1">
      <alignment horizontal="center" vertical="center"/>
    </xf>
    <xf numFmtId="0" fontId="0" fillId="7" borderId="8" xfId="0" applyFill="1" applyBorder="1" applyAlignment="1">
      <alignment vertical="top" wrapText="1"/>
    </xf>
    <xf numFmtId="0" fontId="0" fillId="7" borderId="9" xfId="0" applyFill="1" applyBorder="1" applyAlignment="1">
      <alignment vertical="top" wrapText="1"/>
    </xf>
    <xf numFmtId="0" fontId="0" fillId="0" borderId="6" xfId="0" applyBorder="1"/>
    <xf numFmtId="0" fontId="0" fillId="0" borderId="9" xfId="0" applyBorder="1"/>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1" fillId="0" borderId="0" xfId="1" applyBorder="1"/>
    <xf numFmtId="0" fontId="0" fillId="0" borderId="13" xfId="0" applyBorder="1"/>
    <xf numFmtId="0" fontId="4" fillId="8" borderId="0" xfId="2" applyFill="1"/>
    <xf numFmtId="0" fontId="2" fillId="0" borderId="0" xfId="0" applyFont="1"/>
    <xf numFmtId="164" fontId="0" fillId="0" borderId="0" xfId="0" applyNumberFormat="1"/>
    <xf numFmtId="0" fontId="5" fillId="0" borderId="0" xfId="0" applyFont="1" applyAlignment="1">
      <alignment horizontal="center" vertical="center"/>
    </xf>
    <xf numFmtId="0" fontId="2" fillId="7" borderId="1" xfId="0" applyFont="1" applyFill="1" applyBorder="1"/>
    <xf numFmtId="0" fontId="6" fillId="8" borderId="0" xfId="2" applyFont="1" applyFill="1"/>
    <xf numFmtId="0" fontId="2" fillId="0" borderId="0" xfId="0" applyFont="1" applyAlignment="1">
      <alignment horizontal="center" vertical="center" wrapText="1"/>
    </xf>
    <xf numFmtId="0" fontId="0" fillId="0" borderId="0" xfId="0" applyAlignment="1">
      <alignment vertical="center" wrapText="1"/>
    </xf>
    <xf numFmtId="0" fontId="7" fillId="0" borderId="0" xfId="0" applyFont="1"/>
    <xf numFmtId="2" fontId="0" fillId="0" borderId="0" xfId="0" applyNumberFormat="1"/>
    <xf numFmtId="1" fontId="0" fillId="0" borderId="0" xfId="0" applyNumberFormat="1"/>
    <xf numFmtId="0" fontId="2" fillId="8" borderId="0" xfId="0" applyFont="1" applyFill="1"/>
    <xf numFmtId="0" fontId="0" fillId="9" borderId="0" xfId="0" applyFill="1"/>
    <xf numFmtId="0" fontId="5" fillId="0" borderId="0" xfId="0" applyFont="1"/>
    <xf numFmtId="0" fontId="2" fillId="0" borderId="1" xfId="0" applyFont="1" applyBorder="1"/>
    <xf numFmtId="0" fontId="0" fillId="4" borderId="0" xfId="0" applyFill="1"/>
    <xf numFmtId="0" fontId="0" fillId="0" borderId="14" xfId="0" applyBorder="1"/>
    <xf numFmtId="0" fontId="2" fillId="0" borderId="14" xfId="0" applyFont="1" applyBorder="1"/>
    <xf numFmtId="2" fontId="0" fillId="0" borderId="1" xfId="0" applyNumberFormat="1" applyBorder="1"/>
    <xf numFmtId="0" fontId="0" fillId="10" borderId="1" xfId="0" applyFill="1" applyBorder="1"/>
    <xf numFmtId="0" fontId="2" fillId="4" borderId="1" xfId="0" applyFont="1" applyFill="1" applyBorder="1"/>
    <xf numFmtId="0" fontId="2" fillId="11" borderId="1" xfId="0" applyFont="1" applyFill="1" applyBorder="1"/>
    <xf numFmtId="0" fontId="2" fillId="12" borderId="1" xfId="0" applyFont="1" applyFill="1" applyBorder="1"/>
    <xf numFmtId="0" fontId="2" fillId="8" borderId="1" xfId="0" applyFont="1" applyFill="1" applyBorder="1"/>
    <xf numFmtId="0" fontId="0" fillId="4" borderId="1" xfId="0" applyFill="1" applyBorder="1"/>
    <xf numFmtId="0" fontId="0" fillId="2" borderId="0" xfId="0" applyFill="1"/>
    <xf numFmtId="0" fontId="2" fillId="2" borderId="1" xfId="0" applyFont="1" applyFill="1" applyBorder="1"/>
    <xf numFmtId="0" fontId="0" fillId="0" borderId="0" xfId="0" applyAlignment="1">
      <alignment horizontal="center" wrapText="1"/>
    </xf>
    <xf numFmtId="0" fontId="0" fillId="0" borderId="0" xfId="0" applyAlignment="1">
      <alignment horizontal="center"/>
    </xf>
    <xf numFmtId="0" fontId="2" fillId="0" borderId="1" xfId="0" applyFont="1" applyBorder="1" applyAlignment="1">
      <alignment horizontal="center"/>
    </xf>
    <xf numFmtId="164" fontId="0" fillId="10" borderId="1" xfId="0" applyNumberFormat="1" applyFill="1" applyBorder="1"/>
    <xf numFmtId="0" fontId="1" fillId="0" borderId="0" xfId="1"/>
  </cellXfs>
  <cellStyles count="3">
    <cellStyle name="Hyperlink" xfId="1" builtinId="8"/>
    <cellStyle name="Normal" xfId="0" builtinId="0"/>
    <cellStyle name="Normal 3" xfId="2" xr:uid="{FF37FFD3-EF96-4C44-9693-58B4BA37727E}"/>
  </cellStyles>
  <dxfs count="16">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AHP Vs. REMBRANDT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'AHP Vs. REMBRANDT'!$B$3</c:f>
              <c:strCache>
                <c:ptCount val="1"/>
                <c:pt idx="0">
                  <c:v>AHP</c:v>
                </c:pt>
              </c:strCache>
            </c:strRef>
          </c:tx>
          <c:spPr>
            <a:solidFill>
              <a:schemeClr val="accent1"/>
            </a:solidFill>
            <a:ln>
              <a:noFill/>
            </a:ln>
            <a:effectLst/>
          </c:spPr>
          <c:invertIfNegative val="0"/>
          <c:cat>
            <c:strRef>
              <c:f>'AHP Vs. REMBRANDT'!$C$2:$F$2</c:f>
              <c:strCache>
                <c:ptCount val="4"/>
                <c:pt idx="0">
                  <c:v>SC1</c:v>
                </c:pt>
                <c:pt idx="1">
                  <c:v>SC10</c:v>
                </c:pt>
                <c:pt idx="2">
                  <c:v>SC18</c:v>
                </c:pt>
                <c:pt idx="3">
                  <c:v>SC20</c:v>
                </c:pt>
              </c:strCache>
            </c:strRef>
          </c:cat>
          <c:val>
            <c:numRef>
              <c:f>'AHP Vs. REMBRANDT'!$C$3:$F$3</c:f>
              <c:numCache>
                <c:formatCode>General</c:formatCode>
                <c:ptCount val="4"/>
                <c:pt idx="0">
                  <c:v>20.61081399684765</c:v>
                </c:pt>
                <c:pt idx="1">
                  <c:v>17.171255324916046</c:v>
                </c:pt>
                <c:pt idx="2">
                  <c:v>29.313708871679424</c:v>
                </c:pt>
                <c:pt idx="3">
                  <c:v>32.904221806556876</c:v>
                </c:pt>
              </c:numCache>
            </c:numRef>
          </c:val>
          <c:extLst>
            <c:ext xmlns:c16="http://schemas.microsoft.com/office/drawing/2014/chart" uri="{C3380CC4-5D6E-409C-BE32-E72D297353CC}">
              <c16:uniqueId val="{00000000-C1C4-453D-95DC-4332230EA073}"/>
            </c:ext>
          </c:extLst>
        </c:ser>
        <c:ser>
          <c:idx val="1"/>
          <c:order val="1"/>
          <c:tx>
            <c:strRef>
              <c:f>'AHP Vs. REMBRANDT'!$B$4</c:f>
              <c:strCache>
                <c:ptCount val="1"/>
                <c:pt idx="0">
                  <c:v>REMBRANDT</c:v>
                </c:pt>
              </c:strCache>
            </c:strRef>
          </c:tx>
          <c:spPr>
            <a:solidFill>
              <a:schemeClr val="accent2"/>
            </a:solidFill>
            <a:ln>
              <a:noFill/>
            </a:ln>
            <a:effectLst/>
          </c:spPr>
          <c:invertIfNegative val="0"/>
          <c:cat>
            <c:strRef>
              <c:f>'AHP Vs. REMBRANDT'!$C$2:$F$2</c:f>
              <c:strCache>
                <c:ptCount val="4"/>
                <c:pt idx="0">
                  <c:v>SC1</c:v>
                </c:pt>
                <c:pt idx="1">
                  <c:v>SC10</c:v>
                </c:pt>
                <c:pt idx="2">
                  <c:v>SC18</c:v>
                </c:pt>
                <c:pt idx="3">
                  <c:v>SC20</c:v>
                </c:pt>
              </c:strCache>
            </c:strRef>
          </c:cat>
          <c:val>
            <c:numRef>
              <c:f>'AHP Vs. REMBRANDT'!$C$4:$F$4</c:f>
              <c:numCache>
                <c:formatCode>General</c:formatCode>
                <c:ptCount val="4"/>
                <c:pt idx="0">
                  <c:v>11.202223875962595</c:v>
                </c:pt>
                <c:pt idx="1">
                  <c:v>1.7579971369325122</c:v>
                </c:pt>
                <c:pt idx="2">
                  <c:v>38.9421497409758</c:v>
                </c:pt>
                <c:pt idx="3">
                  <c:v>48.097629246129081</c:v>
                </c:pt>
              </c:numCache>
            </c:numRef>
          </c:val>
          <c:extLst>
            <c:ext xmlns:c16="http://schemas.microsoft.com/office/drawing/2014/chart" uri="{C3380CC4-5D6E-409C-BE32-E72D297353CC}">
              <c16:uniqueId val="{00000001-C1C4-453D-95DC-4332230EA073}"/>
            </c:ext>
          </c:extLst>
        </c:ser>
        <c:dLbls>
          <c:showLegendKey val="0"/>
          <c:showVal val="0"/>
          <c:showCatName val="0"/>
          <c:showSerName val="0"/>
          <c:showPercent val="0"/>
          <c:showBubbleSize val="0"/>
        </c:dLbls>
        <c:gapWidth val="182"/>
        <c:axId val="358938928"/>
        <c:axId val="358951888"/>
      </c:barChart>
      <c:catAx>
        <c:axId val="35893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51888"/>
        <c:crosses val="autoZero"/>
        <c:auto val="1"/>
        <c:lblAlgn val="ctr"/>
        <c:lblOffset val="100"/>
        <c:noMultiLvlLbl val="0"/>
      </c:catAx>
      <c:valAx>
        <c:axId val="35895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93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'MCDA - REMBRANDT'!$BG$51</c:f>
              <c:strCache>
                <c:ptCount val="1"/>
                <c:pt idx="0">
                  <c:v>Baseline</c:v>
                </c:pt>
              </c:strCache>
            </c:strRef>
          </c:tx>
          <c:spPr>
            <a:solidFill>
              <a:schemeClr val="accent1"/>
            </a:solidFill>
            <a:ln>
              <a:noFill/>
            </a:ln>
            <a:effectLst/>
          </c:spPr>
          <c:invertIfNegative val="0"/>
          <c:cat>
            <c:strRef>
              <c:f>'MCDA - REMBRANDT'!$BF$52:$BF$57</c:f>
              <c:strCache>
                <c:ptCount val="6"/>
                <c:pt idx="0">
                  <c:v>C1</c:v>
                </c:pt>
                <c:pt idx="1">
                  <c:v>C2</c:v>
                </c:pt>
                <c:pt idx="2">
                  <c:v>C3</c:v>
                </c:pt>
                <c:pt idx="3">
                  <c:v>C4</c:v>
                </c:pt>
                <c:pt idx="4">
                  <c:v>C5</c:v>
                </c:pt>
                <c:pt idx="5">
                  <c:v>C6</c:v>
                </c:pt>
              </c:strCache>
            </c:strRef>
          </c:cat>
          <c:val>
            <c:numRef>
              <c:f>'MCDA - REMBRANDT'!$BG$52:$BG$57</c:f>
              <c:numCache>
                <c:formatCode>General</c:formatCode>
                <c:ptCount val="6"/>
                <c:pt idx="0">
                  <c:v>0.45886376703850168</c:v>
                </c:pt>
                <c:pt idx="1">
                  <c:v>0.25752858192249573</c:v>
                </c:pt>
                <c:pt idx="2">
                  <c:v>0.11471594175962541</c:v>
                </c:pt>
                <c:pt idx="3">
                  <c:v>7.2266514890733186E-2</c:v>
                </c:pt>
                <c:pt idx="4">
                  <c:v>5.1100142731956039E-2</c:v>
                </c:pt>
                <c:pt idx="5">
                  <c:v>4.5525051656688013E-2</c:v>
                </c:pt>
              </c:numCache>
            </c:numRef>
          </c:val>
          <c:extLst>
            <c:ext xmlns:c16="http://schemas.microsoft.com/office/drawing/2014/chart" uri="{C3380CC4-5D6E-409C-BE32-E72D297353CC}">
              <c16:uniqueId val="{00000000-E61A-462A-BC56-A61BD0E877D7}"/>
            </c:ext>
          </c:extLst>
        </c:ser>
        <c:ser>
          <c:idx val="1"/>
          <c:order val="1"/>
          <c:tx>
            <c:strRef>
              <c:f>'MCDA - REMBRANDT'!$BH$51</c:f>
              <c:strCache>
                <c:ptCount val="1"/>
                <c:pt idx="0">
                  <c:v>Environmentalist</c:v>
                </c:pt>
              </c:strCache>
            </c:strRef>
          </c:tx>
          <c:spPr>
            <a:solidFill>
              <a:schemeClr val="accent2"/>
            </a:solidFill>
            <a:ln>
              <a:noFill/>
            </a:ln>
            <a:effectLst/>
          </c:spPr>
          <c:invertIfNegative val="0"/>
          <c:cat>
            <c:strRef>
              <c:f>'MCDA - REMBRANDT'!$BF$52:$BF$57</c:f>
              <c:strCache>
                <c:ptCount val="6"/>
                <c:pt idx="0">
                  <c:v>C1</c:v>
                </c:pt>
                <c:pt idx="1">
                  <c:v>C2</c:v>
                </c:pt>
                <c:pt idx="2">
                  <c:v>C3</c:v>
                </c:pt>
                <c:pt idx="3">
                  <c:v>C4</c:v>
                </c:pt>
                <c:pt idx="4">
                  <c:v>C5</c:v>
                </c:pt>
                <c:pt idx="5">
                  <c:v>C6</c:v>
                </c:pt>
              </c:strCache>
            </c:strRef>
          </c:cat>
          <c:val>
            <c:numRef>
              <c:f>'MCDA - REMBRANDT'!$BH$52:$BH$57</c:f>
              <c:numCache>
                <c:formatCode>General</c:formatCode>
                <c:ptCount val="6"/>
                <c:pt idx="0">
                  <c:v>8.0768121381165528E-2</c:v>
                </c:pt>
                <c:pt idx="1">
                  <c:v>5.088072814429731E-2</c:v>
                </c:pt>
                <c:pt idx="2">
                  <c:v>0.40704582515437854</c:v>
                </c:pt>
                <c:pt idx="3">
                  <c:v>0.25642280169191478</c:v>
                </c:pt>
                <c:pt idx="4">
                  <c:v>9.0659150963603122E-2</c:v>
                </c:pt>
                <c:pt idx="5">
                  <c:v>0.11422337266464065</c:v>
                </c:pt>
              </c:numCache>
            </c:numRef>
          </c:val>
          <c:extLst>
            <c:ext xmlns:c16="http://schemas.microsoft.com/office/drawing/2014/chart" uri="{C3380CC4-5D6E-409C-BE32-E72D297353CC}">
              <c16:uniqueId val="{00000001-E61A-462A-BC56-A61BD0E877D7}"/>
            </c:ext>
          </c:extLst>
        </c:ser>
        <c:ser>
          <c:idx val="2"/>
          <c:order val="2"/>
          <c:tx>
            <c:strRef>
              <c:f>'MCDA - REMBRANDT'!$BI$51</c:f>
              <c:strCache>
                <c:ptCount val="1"/>
                <c:pt idx="0">
                  <c:v>Workforce</c:v>
                </c:pt>
              </c:strCache>
            </c:strRef>
          </c:tx>
          <c:spPr>
            <a:solidFill>
              <a:schemeClr val="accent3"/>
            </a:solidFill>
            <a:ln>
              <a:noFill/>
            </a:ln>
            <a:effectLst/>
          </c:spPr>
          <c:invertIfNegative val="0"/>
          <c:cat>
            <c:strRef>
              <c:f>'MCDA - REMBRANDT'!$BF$52:$BF$57</c:f>
              <c:strCache>
                <c:ptCount val="6"/>
                <c:pt idx="0">
                  <c:v>C1</c:v>
                </c:pt>
                <c:pt idx="1">
                  <c:v>C2</c:v>
                </c:pt>
                <c:pt idx="2">
                  <c:v>C3</c:v>
                </c:pt>
                <c:pt idx="3">
                  <c:v>C4</c:v>
                </c:pt>
                <c:pt idx="4">
                  <c:v>C5</c:v>
                </c:pt>
                <c:pt idx="5">
                  <c:v>C6</c:v>
                </c:pt>
              </c:strCache>
            </c:strRef>
          </c:cat>
          <c:val>
            <c:numRef>
              <c:f>'MCDA - REMBRANDT'!$BI$52:$BI$57</c:f>
              <c:numCache>
                <c:formatCode>General</c:formatCode>
                <c:ptCount val="6"/>
                <c:pt idx="0">
                  <c:v>0.14707281751517104</c:v>
                </c:pt>
                <c:pt idx="1">
                  <c:v>0.23346354523950952</c:v>
                </c:pt>
                <c:pt idx="2">
                  <c:v>9.2650069327355686E-2</c:v>
                </c:pt>
                <c:pt idx="3">
                  <c:v>0.10399618659318907</c:v>
                </c:pt>
                <c:pt idx="4">
                  <c:v>0.330167311997419</c:v>
                </c:pt>
                <c:pt idx="5">
                  <c:v>9.2650069327355686E-2</c:v>
                </c:pt>
              </c:numCache>
            </c:numRef>
          </c:val>
          <c:extLst>
            <c:ext xmlns:c16="http://schemas.microsoft.com/office/drawing/2014/chart" uri="{C3380CC4-5D6E-409C-BE32-E72D297353CC}">
              <c16:uniqueId val="{00000002-E61A-462A-BC56-A61BD0E877D7}"/>
            </c:ext>
          </c:extLst>
        </c:ser>
        <c:ser>
          <c:idx val="3"/>
          <c:order val="3"/>
          <c:tx>
            <c:strRef>
              <c:f>'MCDA - REMBRANDT'!$BJ$51</c:f>
              <c:strCache>
                <c:ptCount val="1"/>
                <c:pt idx="0">
                  <c:v>Corporations</c:v>
                </c:pt>
              </c:strCache>
            </c:strRef>
          </c:tx>
          <c:spPr>
            <a:solidFill>
              <a:schemeClr val="accent4"/>
            </a:solidFill>
            <a:ln>
              <a:noFill/>
            </a:ln>
            <a:effectLst/>
          </c:spPr>
          <c:invertIfNegative val="0"/>
          <c:cat>
            <c:strRef>
              <c:f>'MCDA - REMBRANDT'!$BF$52:$BF$57</c:f>
              <c:strCache>
                <c:ptCount val="6"/>
                <c:pt idx="0">
                  <c:v>C1</c:v>
                </c:pt>
                <c:pt idx="1">
                  <c:v>C2</c:v>
                </c:pt>
                <c:pt idx="2">
                  <c:v>C3</c:v>
                </c:pt>
                <c:pt idx="3">
                  <c:v>C4</c:v>
                </c:pt>
                <c:pt idx="4">
                  <c:v>C5</c:v>
                </c:pt>
                <c:pt idx="5">
                  <c:v>C6</c:v>
                </c:pt>
              </c:strCache>
            </c:strRef>
          </c:cat>
          <c:val>
            <c:numRef>
              <c:f>'MCDA - REMBRANDT'!$BJ$52:$BJ$57</c:f>
              <c:numCache>
                <c:formatCode>General</c:formatCode>
                <c:ptCount val="6"/>
                <c:pt idx="0">
                  <c:v>0.15006547224514444</c:v>
                </c:pt>
                <c:pt idx="1">
                  <c:v>0.42444925218601309</c:v>
                </c:pt>
                <c:pt idx="2">
                  <c:v>6.6846568430161915E-2</c:v>
                </c:pt>
                <c:pt idx="3">
                  <c:v>7.5032736122572205E-2</c:v>
                </c:pt>
                <c:pt idx="4">
                  <c:v>0.18907064734407231</c:v>
                </c:pt>
                <c:pt idx="5">
                  <c:v>9.4535323672036153E-2</c:v>
                </c:pt>
              </c:numCache>
            </c:numRef>
          </c:val>
          <c:extLst>
            <c:ext xmlns:c16="http://schemas.microsoft.com/office/drawing/2014/chart" uri="{C3380CC4-5D6E-409C-BE32-E72D297353CC}">
              <c16:uniqueId val="{00000003-E61A-462A-BC56-A61BD0E877D7}"/>
            </c:ext>
          </c:extLst>
        </c:ser>
        <c:dLbls>
          <c:showLegendKey val="0"/>
          <c:showVal val="0"/>
          <c:showCatName val="0"/>
          <c:showSerName val="0"/>
          <c:showPercent val="0"/>
          <c:showBubbleSize val="0"/>
        </c:dLbls>
        <c:gapWidth val="182"/>
        <c:axId val="358943248"/>
        <c:axId val="358949008"/>
      </c:barChart>
      <c:catAx>
        <c:axId val="35894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949008"/>
        <c:crosses val="autoZero"/>
        <c:auto val="1"/>
        <c:lblAlgn val="ctr"/>
        <c:lblOffset val="100"/>
        <c:noMultiLvlLbl val="0"/>
      </c:catAx>
      <c:valAx>
        <c:axId val="35894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94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'MCDA - REMBRANDT'!$BG$51</c:f>
              <c:strCache>
                <c:ptCount val="1"/>
                <c:pt idx="0">
                  <c:v>Baseline</c:v>
                </c:pt>
              </c:strCache>
            </c:strRef>
          </c:tx>
          <c:spPr>
            <a:solidFill>
              <a:schemeClr val="accent1"/>
            </a:solidFill>
            <a:ln>
              <a:noFill/>
            </a:ln>
            <a:effectLst/>
          </c:spPr>
          <c:invertIfNegative val="0"/>
          <c:cat>
            <c:strRef>
              <c:f>'MCDA - REMBRANDT'!$BF$59:$BF$62</c:f>
              <c:strCache>
                <c:ptCount val="4"/>
                <c:pt idx="0">
                  <c:v>SC1</c:v>
                </c:pt>
                <c:pt idx="1">
                  <c:v>SC10</c:v>
                </c:pt>
                <c:pt idx="2">
                  <c:v>SC18</c:v>
                </c:pt>
                <c:pt idx="3">
                  <c:v>SC20</c:v>
                </c:pt>
              </c:strCache>
            </c:strRef>
          </c:cat>
          <c:val>
            <c:numRef>
              <c:f>'MCDA - REMBRANDT'!$BG$59:$BG$62</c:f>
              <c:numCache>
                <c:formatCode>General</c:formatCode>
                <c:ptCount val="4"/>
                <c:pt idx="0">
                  <c:v>11.202223875962595</c:v>
                </c:pt>
                <c:pt idx="1">
                  <c:v>1.7579971369325122</c:v>
                </c:pt>
                <c:pt idx="2">
                  <c:v>38.9421497409758</c:v>
                </c:pt>
                <c:pt idx="3">
                  <c:v>48.097629246129081</c:v>
                </c:pt>
              </c:numCache>
            </c:numRef>
          </c:val>
          <c:extLst>
            <c:ext xmlns:c16="http://schemas.microsoft.com/office/drawing/2014/chart" uri="{C3380CC4-5D6E-409C-BE32-E72D297353CC}">
              <c16:uniqueId val="{00000000-7F38-4A19-8758-90ED6018A82E}"/>
            </c:ext>
          </c:extLst>
        </c:ser>
        <c:ser>
          <c:idx val="1"/>
          <c:order val="1"/>
          <c:tx>
            <c:strRef>
              <c:f>'MCDA - REMBRANDT'!$BH$51</c:f>
              <c:strCache>
                <c:ptCount val="1"/>
                <c:pt idx="0">
                  <c:v>Environmentalist</c:v>
                </c:pt>
              </c:strCache>
            </c:strRef>
          </c:tx>
          <c:spPr>
            <a:solidFill>
              <a:schemeClr val="accent2"/>
            </a:solidFill>
            <a:ln>
              <a:noFill/>
            </a:ln>
            <a:effectLst/>
          </c:spPr>
          <c:invertIfNegative val="0"/>
          <c:cat>
            <c:strRef>
              <c:f>'MCDA - REMBRANDT'!$BF$59:$BF$62</c:f>
              <c:strCache>
                <c:ptCount val="4"/>
                <c:pt idx="0">
                  <c:v>SC1</c:v>
                </c:pt>
                <c:pt idx="1">
                  <c:v>SC10</c:v>
                </c:pt>
                <c:pt idx="2">
                  <c:v>SC18</c:v>
                </c:pt>
                <c:pt idx="3">
                  <c:v>SC20</c:v>
                </c:pt>
              </c:strCache>
            </c:strRef>
          </c:cat>
          <c:val>
            <c:numRef>
              <c:f>'MCDA - REMBRANDT'!$BH$59:$BH$62</c:f>
              <c:numCache>
                <c:formatCode>General</c:formatCode>
                <c:ptCount val="4"/>
                <c:pt idx="0">
                  <c:v>22.98968376291776</c:v>
                </c:pt>
                <c:pt idx="1">
                  <c:v>3.3019220380131711</c:v>
                </c:pt>
                <c:pt idx="2">
                  <c:v>18.164978295530723</c:v>
                </c:pt>
                <c:pt idx="3">
                  <c:v>55.543415903538339</c:v>
                </c:pt>
              </c:numCache>
            </c:numRef>
          </c:val>
          <c:extLst>
            <c:ext xmlns:c16="http://schemas.microsoft.com/office/drawing/2014/chart" uri="{C3380CC4-5D6E-409C-BE32-E72D297353CC}">
              <c16:uniqueId val="{00000001-7F38-4A19-8758-90ED6018A82E}"/>
            </c:ext>
          </c:extLst>
        </c:ser>
        <c:ser>
          <c:idx val="2"/>
          <c:order val="2"/>
          <c:tx>
            <c:strRef>
              <c:f>'MCDA - REMBRANDT'!$BI$51</c:f>
              <c:strCache>
                <c:ptCount val="1"/>
                <c:pt idx="0">
                  <c:v>Workforce</c:v>
                </c:pt>
              </c:strCache>
            </c:strRef>
          </c:tx>
          <c:spPr>
            <a:solidFill>
              <a:schemeClr val="accent3"/>
            </a:solidFill>
            <a:ln>
              <a:noFill/>
            </a:ln>
            <a:effectLst/>
          </c:spPr>
          <c:invertIfNegative val="0"/>
          <c:cat>
            <c:strRef>
              <c:f>'MCDA - REMBRANDT'!$BF$59:$BF$62</c:f>
              <c:strCache>
                <c:ptCount val="4"/>
                <c:pt idx="0">
                  <c:v>SC1</c:v>
                </c:pt>
                <c:pt idx="1">
                  <c:v>SC10</c:v>
                </c:pt>
                <c:pt idx="2">
                  <c:v>SC18</c:v>
                </c:pt>
                <c:pt idx="3">
                  <c:v>SC20</c:v>
                </c:pt>
              </c:strCache>
            </c:strRef>
          </c:cat>
          <c:val>
            <c:numRef>
              <c:f>'MCDA - REMBRANDT'!$BI$59:$BI$62</c:f>
              <c:numCache>
                <c:formatCode>General</c:formatCode>
                <c:ptCount val="4"/>
                <c:pt idx="0">
                  <c:v>19.640197605756189</c:v>
                </c:pt>
                <c:pt idx="1">
                  <c:v>4.6564308924937681</c:v>
                </c:pt>
                <c:pt idx="2">
                  <c:v>46.109353724365981</c:v>
                </c:pt>
                <c:pt idx="3">
                  <c:v>29.594017777384064</c:v>
                </c:pt>
              </c:numCache>
            </c:numRef>
          </c:val>
          <c:extLst>
            <c:ext xmlns:c16="http://schemas.microsoft.com/office/drawing/2014/chart" uri="{C3380CC4-5D6E-409C-BE32-E72D297353CC}">
              <c16:uniqueId val="{00000002-7F38-4A19-8758-90ED6018A82E}"/>
            </c:ext>
          </c:extLst>
        </c:ser>
        <c:ser>
          <c:idx val="3"/>
          <c:order val="3"/>
          <c:tx>
            <c:strRef>
              <c:f>'MCDA - REMBRANDT'!$BJ$51</c:f>
              <c:strCache>
                <c:ptCount val="1"/>
                <c:pt idx="0">
                  <c:v>Corporations</c:v>
                </c:pt>
              </c:strCache>
            </c:strRef>
          </c:tx>
          <c:spPr>
            <a:solidFill>
              <a:schemeClr val="accent4"/>
            </a:solidFill>
            <a:ln>
              <a:noFill/>
            </a:ln>
            <a:effectLst/>
          </c:spPr>
          <c:invertIfNegative val="0"/>
          <c:cat>
            <c:strRef>
              <c:f>'MCDA - REMBRANDT'!$BF$59:$BF$62</c:f>
              <c:strCache>
                <c:ptCount val="4"/>
                <c:pt idx="0">
                  <c:v>SC1</c:v>
                </c:pt>
                <c:pt idx="1">
                  <c:v>SC10</c:v>
                </c:pt>
                <c:pt idx="2">
                  <c:v>SC18</c:v>
                </c:pt>
                <c:pt idx="3">
                  <c:v>SC20</c:v>
                </c:pt>
              </c:strCache>
            </c:strRef>
          </c:cat>
          <c:val>
            <c:numRef>
              <c:f>'MCDA - REMBRANDT'!$BJ$59:$BJ$62</c:f>
              <c:numCache>
                <c:formatCode>General</c:formatCode>
                <c:ptCount val="4"/>
                <c:pt idx="0">
                  <c:v>14.282472475694471</c:v>
                </c:pt>
                <c:pt idx="1">
                  <c:v>3.4596856661825228</c:v>
                </c:pt>
                <c:pt idx="2">
                  <c:v>52.456917850630397</c:v>
                </c:pt>
                <c:pt idx="3">
                  <c:v>29.800924007492604</c:v>
                </c:pt>
              </c:numCache>
            </c:numRef>
          </c:val>
          <c:extLst>
            <c:ext xmlns:c16="http://schemas.microsoft.com/office/drawing/2014/chart" uri="{C3380CC4-5D6E-409C-BE32-E72D297353CC}">
              <c16:uniqueId val="{00000003-7F38-4A19-8758-90ED6018A82E}"/>
            </c:ext>
          </c:extLst>
        </c:ser>
        <c:dLbls>
          <c:showLegendKey val="0"/>
          <c:showVal val="0"/>
          <c:showCatName val="0"/>
          <c:showSerName val="0"/>
          <c:showPercent val="0"/>
          <c:showBubbleSize val="0"/>
        </c:dLbls>
        <c:gapWidth val="182"/>
        <c:axId val="358943248"/>
        <c:axId val="358949008"/>
      </c:barChart>
      <c:catAx>
        <c:axId val="358943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949008"/>
        <c:crosses val="autoZero"/>
        <c:auto val="1"/>
        <c:lblAlgn val="ctr"/>
        <c:lblOffset val="100"/>
        <c:noMultiLvlLbl val="0"/>
      </c:catAx>
      <c:valAx>
        <c:axId val="35894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943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D"/>
              <a:t>Progression Factor Alternatives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lineChart>
        <c:grouping val="standard"/>
        <c:varyColors val="0"/>
        <c:ser>
          <c:idx val="0"/>
          <c:order val="0"/>
          <c:tx>
            <c:strRef>
              <c:f>'REMBRANDT Sensitivity Analysis'!$C$41</c:f>
              <c:strCache>
                <c:ptCount val="1"/>
                <c:pt idx="0">
                  <c:v>SC1</c:v>
                </c:pt>
              </c:strCache>
            </c:strRef>
          </c:tx>
          <c:spPr>
            <a:ln w="28575" cap="rnd">
              <a:solidFill>
                <a:schemeClr val="accent1"/>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Analysis'!$D$41:$G$41</c:f>
              <c:numCache>
                <c:formatCode>General</c:formatCode>
                <c:ptCount val="4"/>
                <c:pt idx="0">
                  <c:v>1</c:v>
                </c:pt>
                <c:pt idx="1">
                  <c:v>1.0038781174268281</c:v>
                </c:pt>
                <c:pt idx="2">
                  <c:v>1.005068899289788</c:v>
                </c:pt>
                <c:pt idx="3">
                  <c:v>1.0072714896690722</c:v>
                </c:pt>
              </c:numCache>
            </c:numRef>
          </c:val>
          <c:smooth val="0"/>
          <c:extLst>
            <c:ext xmlns:c16="http://schemas.microsoft.com/office/drawing/2014/chart" uri="{C3380CC4-5D6E-409C-BE32-E72D297353CC}">
              <c16:uniqueId val="{00000000-41FF-41B6-958A-53C2C4318B7E}"/>
            </c:ext>
          </c:extLst>
        </c:ser>
        <c:ser>
          <c:idx val="1"/>
          <c:order val="1"/>
          <c:tx>
            <c:strRef>
              <c:f>'REMBRANDT Sensitivity Analysis'!$C$42</c:f>
              <c:strCache>
                <c:ptCount val="1"/>
                <c:pt idx="0">
                  <c:v>SC10</c:v>
                </c:pt>
              </c:strCache>
            </c:strRef>
          </c:tx>
          <c:spPr>
            <a:ln w="28575" cap="rnd">
              <a:solidFill>
                <a:schemeClr val="accent2"/>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Analysis'!$D$42:$G$42</c:f>
              <c:numCache>
                <c:formatCode>General</c:formatCode>
                <c:ptCount val="4"/>
                <c:pt idx="0">
                  <c:v>1</c:v>
                </c:pt>
                <c:pt idx="1">
                  <c:v>0.27688400997619134</c:v>
                </c:pt>
                <c:pt idx="2">
                  <c:v>0.1868473131904079</c:v>
                </c:pt>
                <c:pt idx="3">
                  <c:v>9.0379563330848761E-2</c:v>
                </c:pt>
              </c:numCache>
            </c:numRef>
          </c:val>
          <c:smooth val="0"/>
          <c:extLst>
            <c:ext xmlns:c16="http://schemas.microsoft.com/office/drawing/2014/chart" uri="{C3380CC4-5D6E-409C-BE32-E72D297353CC}">
              <c16:uniqueId val="{00000001-41FF-41B6-958A-53C2C4318B7E}"/>
            </c:ext>
          </c:extLst>
        </c:ser>
        <c:ser>
          <c:idx val="2"/>
          <c:order val="2"/>
          <c:tx>
            <c:strRef>
              <c:f>'REMBRANDT Sensitivity Analysis'!$C$43</c:f>
              <c:strCache>
                <c:ptCount val="1"/>
                <c:pt idx="0">
                  <c:v>SC18</c:v>
                </c:pt>
              </c:strCache>
            </c:strRef>
          </c:tx>
          <c:spPr>
            <a:ln w="28575" cap="rnd">
              <a:solidFill>
                <a:schemeClr val="accent3"/>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Analysis'!$D$43:$G$43</c:f>
              <c:numCache>
                <c:formatCode>General</c:formatCode>
                <c:ptCount val="4"/>
                <c:pt idx="0">
                  <c:v>1</c:v>
                </c:pt>
                <c:pt idx="1">
                  <c:v>1.7245684109366284</c:v>
                </c:pt>
                <c:pt idx="2">
                  <c:v>2.0378399146096244</c:v>
                </c:pt>
                <c:pt idx="3">
                  <c:v>2.7734998850949362</c:v>
                </c:pt>
              </c:numCache>
            </c:numRef>
          </c:val>
          <c:smooth val="0"/>
          <c:extLst>
            <c:ext xmlns:c16="http://schemas.microsoft.com/office/drawing/2014/chart" uri="{C3380CC4-5D6E-409C-BE32-E72D297353CC}">
              <c16:uniqueId val="{00000002-41FF-41B6-958A-53C2C4318B7E}"/>
            </c:ext>
          </c:extLst>
        </c:ser>
        <c:ser>
          <c:idx val="3"/>
          <c:order val="3"/>
          <c:tx>
            <c:strRef>
              <c:f>'REMBRANDT Sensitivity Analysis'!$C$44</c:f>
              <c:strCache>
                <c:ptCount val="1"/>
                <c:pt idx="0">
                  <c:v>SC20</c:v>
                </c:pt>
              </c:strCache>
            </c:strRef>
          </c:tx>
          <c:spPr>
            <a:ln w="28575" cap="rnd">
              <a:solidFill>
                <a:schemeClr val="accent4"/>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Analysis'!$D$44:$G$44</c:f>
              <c:numCache>
                <c:formatCode>General</c:formatCode>
                <c:ptCount val="4"/>
                <c:pt idx="0">
                  <c:v>1</c:v>
                </c:pt>
                <c:pt idx="1">
                  <c:v>2.086126834581858</c:v>
                </c:pt>
                <c:pt idx="2">
                  <c:v>2.6130471362604411</c:v>
                </c:pt>
                <c:pt idx="3">
                  <c:v>3.9605460515070594</c:v>
                </c:pt>
              </c:numCache>
            </c:numRef>
          </c:val>
          <c:smooth val="0"/>
          <c:extLst>
            <c:ext xmlns:c16="http://schemas.microsoft.com/office/drawing/2014/chart" uri="{C3380CC4-5D6E-409C-BE32-E72D297353CC}">
              <c16:uniqueId val="{00000003-41FF-41B6-958A-53C2C4318B7E}"/>
            </c:ext>
          </c:extLst>
        </c:ser>
        <c:dLbls>
          <c:showLegendKey val="0"/>
          <c:showVal val="0"/>
          <c:showCatName val="0"/>
          <c:showSerName val="0"/>
          <c:showPercent val="0"/>
          <c:showBubbleSize val="0"/>
        </c:dLbls>
        <c:smooth val="0"/>
        <c:axId val="1631748000"/>
        <c:axId val="1631734080"/>
      </c:lineChart>
      <c:catAx>
        <c:axId val="16317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1734080"/>
        <c:crosses val="autoZero"/>
        <c:auto val="1"/>
        <c:lblAlgn val="ctr"/>
        <c:lblOffset val="100"/>
        <c:noMultiLvlLbl val="0"/>
      </c:catAx>
      <c:valAx>
        <c:axId val="163173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1748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D"/>
              <a:t>Progression Factor Criteria</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lineChart>
        <c:grouping val="standard"/>
        <c:varyColors val="0"/>
        <c:ser>
          <c:idx val="0"/>
          <c:order val="0"/>
          <c:tx>
            <c:strRef>
              <c:f>'REMBRANDT Sensitivity Analysis'!$C$62</c:f>
              <c:strCache>
                <c:ptCount val="1"/>
                <c:pt idx="0">
                  <c:v>SC1</c:v>
                </c:pt>
              </c:strCache>
            </c:strRef>
          </c:tx>
          <c:spPr>
            <a:ln w="28575" cap="rnd">
              <a:solidFill>
                <a:schemeClr val="accent1"/>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Analysis'!$D$62:$G$62</c:f>
              <c:numCache>
                <c:formatCode>General</c:formatCode>
                <c:ptCount val="4"/>
                <c:pt idx="0">
                  <c:v>1.6817928305074288</c:v>
                </c:pt>
                <c:pt idx="1">
                  <c:v>0.94954523916677247</c:v>
                </c:pt>
                <c:pt idx="2">
                  <c:v>0.84075993230669888</c:v>
                </c:pt>
                <c:pt idx="3">
                  <c:v>0.72801614141373172</c:v>
                </c:pt>
              </c:numCache>
            </c:numRef>
          </c:val>
          <c:smooth val="0"/>
          <c:extLst>
            <c:ext xmlns:c16="http://schemas.microsoft.com/office/drawing/2014/chart" uri="{C3380CC4-5D6E-409C-BE32-E72D297353CC}">
              <c16:uniqueId val="{00000000-D0BC-489C-9A90-49D9B4C06C2E}"/>
            </c:ext>
          </c:extLst>
        </c:ser>
        <c:ser>
          <c:idx val="1"/>
          <c:order val="1"/>
          <c:tx>
            <c:strRef>
              <c:f>'REMBRANDT Sensitivity Analysis'!$C$63</c:f>
              <c:strCache>
                <c:ptCount val="1"/>
                <c:pt idx="0">
                  <c:v>SC10</c:v>
                </c:pt>
              </c:strCache>
            </c:strRef>
          </c:tx>
          <c:spPr>
            <a:ln w="28575" cap="rnd">
              <a:solidFill>
                <a:schemeClr val="accent2"/>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Analysis'!$D$63:$G$63</c:f>
              <c:numCache>
                <c:formatCode>General</c:formatCode>
                <c:ptCount val="4"/>
                <c:pt idx="0">
                  <c:v>0.18728838460958522</c:v>
                </c:pt>
                <c:pt idx="1">
                  <c:v>8.273758297147496E-2</c:v>
                </c:pt>
                <c:pt idx="2">
                  <c:v>7.0001251378517329E-2</c:v>
                </c:pt>
                <c:pt idx="3">
                  <c:v>5.7818654895627208E-2</c:v>
                </c:pt>
              </c:numCache>
            </c:numRef>
          </c:val>
          <c:smooth val="0"/>
          <c:extLst>
            <c:ext xmlns:c16="http://schemas.microsoft.com/office/drawing/2014/chart" uri="{C3380CC4-5D6E-409C-BE32-E72D297353CC}">
              <c16:uniqueId val="{00000001-D0BC-489C-9A90-49D9B4C06C2E}"/>
            </c:ext>
          </c:extLst>
        </c:ser>
        <c:ser>
          <c:idx val="2"/>
          <c:order val="2"/>
          <c:tx>
            <c:strRef>
              <c:f>'REMBRANDT Sensitivity Analysis'!$C$64</c:f>
              <c:strCache>
                <c:ptCount val="1"/>
                <c:pt idx="0">
                  <c:v>SC18</c:v>
                </c:pt>
              </c:strCache>
            </c:strRef>
          </c:tx>
          <c:spPr>
            <a:ln w="28575" cap="rnd">
              <a:solidFill>
                <a:schemeClr val="accent3"/>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Analysis'!$D$64:$G$64</c:f>
              <c:numCache>
                <c:formatCode>General</c:formatCode>
                <c:ptCount val="4"/>
                <c:pt idx="0">
                  <c:v>3.1748021039363983</c:v>
                </c:pt>
                <c:pt idx="1">
                  <c:v>4.0083770837049277</c:v>
                </c:pt>
                <c:pt idx="2">
                  <c:v>4.1616483066980363</c:v>
                </c:pt>
                <c:pt idx="3">
                  <c:v>4.2506888297856404</c:v>
                </c:pt>
              </c:numCache>
            </c:numRef>
          </c:val>
          <c:smooth val="0"/>
          <c:extLst>
            <c:ext xmlns:c16="http://schemas.microsoft.com/office/drawing/2014/chart" uri="{C3380CC4-5D6E-409C-BE32-E72D297353CC}">
              <c16:uniqueId val="{00000002-D0BC-489C-9A90-49D9B4C06C2E}"/>
            </c:ext>
          </c:extLst>
        </c:ser>
        <c:ser>
          <c:idx val="3"/>
          <c:order val="3"/>
          <c:tx>
            <c:strRef>
              <c:f>'REMBRANDT Sensitivity Analysis'!$C$65</c:f>
              <c:strCache>
                <c:ptCount val="1"/>
                <c:pt idx="0">
                  <c:v>SC20</c:v>
                </c:pt>
              </c:strCache>
            </c:strRef>
          </c:tx>
          <c:spPr>
            <a:ln w="28575" cap="rnd">
              <a:solidFill>
                <a:schemeClr val="accent4"/>
              </a:solidFill>
              <a:round/>
            </a:ln>
            <a:effectLst/>
          </c:spPr>
          <c:marker>
            <c:symbol val="none"/>
          </c:marker>
          <c:cat>
            <c:numRef>
              <c:f>'REMBRANDT Sensitivity Analysis'!$D$40:$G$40</c:f>
              <c:numCache>
                <c:formatCode>General</c:formatCode>
                <c:ptCount val="4"/>
                <c:pt idx="0">
                  <c:v>1</c:v>
                </c:pt>
                <c:pt idx="1">
                  <c:v>1.7</c:v>
                </c:pt>
                <c:pt idx="2">
                  <c:v>2</c:v>
                </c:pt>
                <c:pt idx="3">
                  <c:v>2.7</c:v>
                </c:pt>
              </c:numCache>
            </c:numRef>
          </c:cat>
          <c:val>
            <c:numRef>
              <c:f>'REMBRANDT Sensitivity Analysis'!$D$65:$G$65</c:f>
              <c:numCache>
                <c:formatCode>General</c:formatCode>
                <c:ptCount val="4"/>
                <c:pt idx="0">
                  <c:v>1.0000000000000002</c:v>
                </c:pt>
                <c:pt idx="1">
                  <c:v>3.1755060110487756</c:v>
                </c:pt>
                <c:pt idx="2">
                  <c:v>4.0827878502045341</c:v>
                </c:pt>
                <c:pt idx="3">
                  <c:v>5.588968910654005</c:v>
                </c:pt>
              </c:numCache>
            </c:numRef>
          </c:val>
          <c:smooth val="0"/>
          <c:extLst>
            <c:ext xmlns:c16="http://schemas.microsoft.com/office/drawing/2014/chart" uri="{C3380CC4-5D6E-409C-BE32-E72D297353CC}">
              <c16:uniqueId val="{00000003-D0BC-489C-9A90-49D9B4C06C2E}"/>
            </c:ext>
          </c:extLst>
        </c:ser>
        <c:dLbls>
          <c:showLegendKey val="0"/>
          <c:showVal val="0"/>
          <c:showCatName val="0"/>
          <c:showSerName val="0"/>
          <c:showPercent val="0"/>
          <c:showBubbleSize val="0"/>
        </c:dLbls>
        <c:smooth val="0"/>
        <c:axId val="1631748000"/>
        <c:axId val="1631734080"/>
      </c:lineChart>
      <c:catAx>
        <c:axId val="163174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1734080"/>
        <c:crosses val="autoZero"/>
        <c:auto val="1"/>
        <c:lblAlgn val="ctr"/>
        <c:lblOffset val="100"/>
        <c:noMultiLvlLbl val="0"/>
      </c:catAx>
      <c:valAx>
        <c:axId val="163173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31748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6.png"/><Relationship Id="rId1" Type="http://schemas.openxmlformats.org/officeDocument/2006/relationships/image" Target="../media/image4.png"/><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14</xdr:col>
      <xdr:colOff>400594</xdr:colOff>
      <xdr:row>1</xdr:row>
      <xdr:rowOff>81644</xdr:rowOff>
    </xdr:from>
    <xdr:to>
      <xdr:col>25</xdr:col>
      <xdr:colOff>26896</xdr:colOff>
      <xdr:row>31</xdr:row>
      <xdr:rowOff>18507</xdr:rowOff>
    </xdr:to>
    <xdr:pic>
      <xdr:nvPicPr>
        <xdr:cNvPr id="2" name="Picture 1">
          <a:extLst>
            <a:ext uri="{FF2B5EF4-FFF2-40B4-BE49-F238E27FC236}">
              <a16:creationId xmlns:a16="http://schemas.microsoft.com/office/drawing/2014/main" id="{FD98D6AB-D417-A8B4-D341-6FA255D44B03}"/>
            </a:ext>
          </a:extLst>
        </xdr:cNvPr>
        <xdr:cNvPicPr>
          <a:picLocks noChangeAspect="1"/>
        </xdr:cNvPicPr>
      </xdr:nvPicPr>
      <xdr:blipFill>
        <a:blip xmlns:r="http://schemas.openxmlformats.org/officeDocument/2006/relationships" r:embed="rId1"/>
        <a:stretch>
          <a:fillRect/>
        </a:stretch>
      </xdr:blipFill>
      <xdr:spPr>
        <a:xfrm>
          <a:off x="8934994" y="266701"/>
          <a:ext cx="6331902" cy="5488577"/>
        </a:xfrm>
        <a:prstGeom prst="rect">
          <a:avLst/>
        </a:prstGeom>
      </xdr:spPr>
    </xdr:pic>
    <xdr:clientData/>
  </xdr:twoCellAnchor>
  <xdr:twoCellAnchor>
    <xdr:from>
      <xdr:col>1</xdr:col>
      <xdr:colOff>15240</xdr:colOff>
      <xdr:row>0</xdr:row>
      <xdr:rowOff>167641</xdr:rowOff>
    </xdr:from>
    <xdr:to>
      <xdr:col>5</xdr:col>
      <xdr:colOff>594360</xdr:colOff>
      <xdr:row>13</xdr:row>
      <xdr:rowOff>8965</xdr:rowOff>
    </xdr:to>
    <xdr:sp macro="" textlink="">
      <xdr:nvSpPr>
        <xdr:cNvPr id="3" name="Rectangle 2">
          <a:extLst>
            <a:ext uri="{FF2B5EF4-FFF2-40B4-BE49-F238E27FC236}">
              <a16:creationId xmlns:a16="http://schemas.microsoft.com/office/drawing/2014/main" id="{BD455D4F-CF9E-9EAE-235D-C6D596C9CC48}"/>
            </a:ext>
          </a:extLst>
        </xdr:cNvPr>
        <xdr:cNvSpPr/>
      </xdr:nvSpPr>
      <xdr:spPr>
        <a:xfrm>
          <a:off x="624840" y="167641"/>
          <a:ext cx="3017520" cy="217214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solidFill>
                <a:schemeClr val="tx1"/>
              </a:solidFill>
            </a:rPr>
            <a:t>Concordance And Discordance Matrix derived by running the python file ELECTRE_analysis and extracting the Electre csv and Ranking csv. </a:t>
          </a:r>
          <a:r>
            <a:rPr lang="en-ID" sz="1100" b="1">
              <a:solidFill>
                <a:schemeClr val="tx1"/>
              </a:solidFill>
            </a:rPr>
            <a:t>We did not realize that the</a:t>
          </a:r>
          <a:r>
            <a:rPr lang="en-ID" sz="1100" b="1" baseline="0">
              <a:solidFill>
                <a:schemeClr val="tx1"/>
              </a:solidFill>
            </a:rPr>
            <a:t> assignment required full excel calculation works, and used python for this case since it was easier to automate the outranking graph process.</a:t>
          </a:r>
          <a:r>
            <a:rPr lang="en-ID" sz="1100" baseline="0">
              <a:solidFill>
                <a:schemeClr val="tx1"/>
              </a:solidFill>
            </a:rPr>
            <a:t> Allowing us to change the treshold t_i amount to see how the outranking graph would change. Thus for evaluation purposes the concordance and discordance matrix is copy pasted onto the excel sheet</a:t>
          </a:r>
          <a:endParaRPr lang="en-ID" sz="1100">
            <a:solidFill>
              <a:schemeClr val="tx1"/>
            </a:solidFill>
          </a:endParaRPr>
        </a:p>
      </xdr:txBody>
    </xdr:sp>
    <xdr:clientData/>
  </xdr:twoCellAnchor>
  <xdr:twoCellAnchor editAs="oneCell">
    <xdr:from>
      <xdr:col>6</xdr:col>
      <xdr:colOff>239486</xdr:colOff>
      <xdr:row>1</xdr:row>
      <xdr:rowOff>0</xdr:rowOff>
    </xdr:from>
    <xdr:to>
      <xdr:col>14</xdr:col>
      <xdr:colOff>2773</xdr:colOff>
      <xdr:row>19</xdr:row>
      <xdr:rowOff>141514</xdr:rowOff>
    </xdr:to>
    <xdr:pic>
      <xdr:nvPicPr>
        <xdr:cNvPr id="4" name="Picture 3">
          <a:extLst>
            <a:ext uri="{FF2B5EF4-FFF2-40B4-BE49-F238E27FC236}">
              <a16:creationId xmlns:a16="http://schemas.microsoft.com/office/drawing/2014/main" id="{56EEEFB5-F0DE-03CF-1670-EB1C03E474E4}"/>
            </a:ext>
          </a:extLst>
        </xdr:cNvPr>
        <xdr:cNvPicPr>
          <a:picLocks noChangeAspect="1"/>
        </xdr:cNvPicPr>
      </xdr:nvPicPr>
      <xdr:blipFill>
        <a:blip xmlns:r="http://schemas.openxmlformats.org/officeDocument/2006/relationships" r:embed="rId2"/>
        <a:stretch>
          <a:fillRect/>
        </a:stretch>
      </xdr:blipFill>
      <xdr:spPr>
        <a:xfrm>
          <a:off x="3897086" y="185057"/>
          <a:ext cx="4640087" cy="3472543"/>
        </a:xfrm>
        <a:prstGeom prst="rect">
          <a:avLst/>
        </a:prstGeom>
      </xdr:spPr>
    </xdr:pic>
    <xdr:clientData/>
  </xdr:twoCellAnchor>
  <xdr:twoCellAnchor editAs="oneCell">
    <xdr:from>
      <xdr:col>6</xdr:col>
      <xdr:colOff>185057</xdr:colOff>
      <xdr:row>20</xdr:row>
      <xdr:rowOff>108857</xdr:rowOff>
    </xdr:from>
    <xdr:to>
      <xdr:col>13</xdr:col>
      <xdr:colOff>581701</xdr:colOff>
      <xdr:row>32</xdr:row>
      <xdr:rowOff>113404</xdr:rowOff>
    </xdr:to>
    <xdr:pic>
      <xdr:nvPicPr>
        <xdr:cNvPr id="5" name="Picture 4">
          <a:extLst>
            <a:ext uri="{FF2B5EF4-FFF2-40B4-BE49-F238E27FC236}">
              <a16:creationId xmlns:a16="http://schemas.microsoft.com/office/drawing/2014/main" id="{4E29553E-EDAB-248A-98E2-C8DA0BED5A97}"/>
            </a:ext>
          </a:extLst>
        </xdr:cNvPr>
        <xdr:cNvPicPr>
          <a:picLocks noChangeAspect="1"/>
        </xdr:cNvPicPr>
      </xdr:nvPicPr>
      <xdr:blipFill>
        <a:blip xmlns:r="http://schemas.openxmlformats.org/officeDocument/2006/relationships" r:embed="rId3"/>
        <a:stretch>
          <a:fillRect/>
        </a:stretch>
      </xdr:blipFill>
      <xdr:spPr>
        <a:xfrm>
          <a:off x="3842657" y="3810000"/>
          <a:ext cx="4663844" cy="22252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74023</xdr:colOff>
      <xdr:row>27</xdr:row>
      <xdr:rowOff>43543</xdr:rowOff>
    </xdr:from>
    <xdr:to>
      <xdr:col>11</xdr:col>
      <xdr:colOff>508929</xdr:colOff>
      <xdr:row>49</xdr:row>
      <xdr:rowOff>112478</xdr:rowOff>
    </xdr:to>
    <xdr:pic>
      <xdr:nvPicPr>
        <xdr:cNvPr id="2" name="Picture 1">
          <a:extLst>
            <a:ext uri="{FF2B5EF4-FFF2-40B4-BE49-F238E27FC236}">
              <a16:creationId xmlns:a16="http://schemas.microsoft.com/office/drawing/2014/main" id="{00435EE7-4821-24BE-C31D-67237547B238}"/>
            </a:ext>
          </a:extLst>
        </xdr:cNvPr>
        <xdr:cNvPicPr>
          <a:picLocks noChangeAspect="1"/>
        </xdr:cNvPicPr>
      </xdr:nvPicPr>
      <xdr:blipFill>
        <a:blip xmlns:r="http://schemas.openxmlformats.org/officeDocument/2006/relationships" r:embed="rId1"/>
        <a:stretch>
          <a:fillRect/>
        </a:stretch>
      </xdr:blipFill>
      <xdr:spPr>
        <a:xfrm>
          <a:off x="683623" y="4669972"/>
          <a:ext cx="6530906" cy="4140192"/>
        </a:xfrm>
        <a:prstGeom prst="rect">
          <a:avLst/>
        </a:prstGeom>
      </xdr:spPr>
    </xdr:pic>
    <xdr:clientData/>
  </xdr:twoCellAnchor>
  <xdr:twoCellAnchor>
    <xdr:from>
      <xdr:col>5</xdr:col>
      <xdr:colOff>289560</xdr:colOff>
      <xdr:row>1</xdr:row>
      <xdr:rowOff>160020</xdr:rowOff>
    </xdr:from>
    <xdr:to>
      <xdr:col>7</xdr:col>
      <xdr:colOff>601980</xdr:colOff>
      <xdr:row>5</xdr:row>
      <xdr:rowOff>0</xdr:rowOff>
    </xdr:to>
    <xdr:sp macro="" textlink="">
      <xdr:nvSpPr>
        <xdr:cNvPr id="3" name="Rectangle: Rounded Corners 2">
          <a:extLst>
            <a:ext uri="{FF2B5EF4-FFF2-40B4-BE49-F238E27FC236}">
              <a16:creationId xmlns:a16="http://schemas.microsoft.com/office/drawing/2014/main" id="{F6C75BB8-7C5F-8F4A-4BAB-AA4242D06CF7}"/>
            </a:ext>
          </a:extLst>
        </xdr:cNvPr>
        <xdr:cNvSpPr/>
      </xdr:nvSpPr>
      <xdr:spPr>
        <a:xfrm>
          <a:off x="3337560" y="342900"/>
          <a:ext cx="1531620" cy="571500"/>
        </a:xfrm>
        <a:prstGeom prst="roundRect">
          <a:avLst/>
        </a:prstGeom>
        <a:solidFill>
          <a:srgbClr val="7030A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CRITERIA</a:t>
          </a:r>
        </a:p>
      </xdr:txBody>
    </xdr:sp>
    <xdr:clientData/>
  </xdr:twoCellAnchor>
  <xdr:twoCellAnchor>
    <xdr:from>
      <xdr:col>5</xdr:col>
      <xdr:colOff>289560</xdr:colOff>
      <xdr:row>8</xdr:row>
      <xdr:rowOff>114300</xdr:rowOff>
    </xdr:from>
    <xdr:to>
      <xdr:col>7</xdr:col>
      <xdr:colOff>601980</xdr:colOff>
      <xdr:row>11</xdr:row>
      <xdr:rowOff>137160</xdr:rowOff>
    </xdr:to>
    <xdr:sp macro="" textlink="">
      <xdr:nvSpPr>
        <xdr:cNvPr id="4" name="Rectangle: Rounded Corners 3">
          <a:extLst>
            <a:ext uri="{FF2B5EF4-FFF2-40B4-BE49-F238E27FC236}">
              <a16:creationId xmlns:a16="http://schemas.microsoft.com/office/drawing/2014/main" id="{5F4030B6-8532-40B5-A045-A142FD1D005D}"/>
            </a:ext>
          </a:extLst>
        </xdr:cNvPr>
        <xdr:cNvSpPr/>
      </xdr:nvSpPr>
      <xdr:spPr>
        <a:xfrm>
          <a:off x="3337560" y="139446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2</a:t>
          </a:r>
          <a:r>
            <a:rPr lang="en-ID" sz="1400" baseline="0"/>
            <a:t> Environmental</a:t>
          </a:r>
          <a:endParaRPr lang="en-ID" sz="1400"/>
        </a:p>
      </xdr:txBody>
    </xdr:sp>
    <xdr:clientData/>
  </xdr:twoCellAnchor>
  <xdr:twoCellAnchor>
    <xdr:from>
      <xdr:col>1</xdr:col>
      <xdr:colOff>411480</xdr:colOff>
      <xdr:row>8</xdr:row>
      <xdr:rowOff>99060</xdr:rowOff>
    </xdr:from>
    <xdr:to>
      <xdr:col>4</xdr:col>
      <xdr:colOff>114300</xdr:colOff>
      <xdr:row>11</xdr:row>
      <xdr:rowOff>121920</xdr:rowOff>
    </xdr:to>
    <xdr:sp macro="" textlink="">
      <xdr:nvSpPr>
        <xdr:cNvPr id="5" name="Rectangle: Rounded Corners 4">
          <a:extLst>
            <a:ext uri="{FF2B5EF4-FFF2-40B4-BE49-F238E27FC236}">
              <a16:creationId xmlns:a16="http://schemas.microsoft.com/office/drawing/2014/main" id="{75073728-275F-4122-8B8B-D06B35D34025}"/>
            </a:ext>
          </a:extLst>
        </xdr:cNvPr>
        <xdr:cNvSpPr/>
      </xdr:nvSpPr>
      <xdr:spPr>
        <a:xfrm>
          <a:off x="1021080" y="1379220"/>
          <a:ext cx="1531620" cy="5715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1.</a:t>
          </a:r>
          <a:r>
            <a:rPr lang="en-ID" sz="1400" baseline="0"/>
            <a:t> Economic</a:t>
          </a:r>
          <a:endParaRPr lang="en-ID" sz="1400"/>
        </a:p>
      </xdr:txBody>
    </xdr:sp>
    <xdr:clientData/>
  </xdr:twoCellAnchor>
  <xdr:twoCellAnchor>
    <xdr:from>
      <xdr:col>9</xdr:col>
      <xdr:colOff>220980</xdr:colOff>
      <xdr:row>8</xdr:row>
      <xdr:rowOff>137160</xdr:rowOff>
    </xdr:from>
    <xdr:to>
      <xdr:col>11</xdr:col>
      <xdr:colOff>533400</xdr:colOff>
      <xdr:row>11</xdr:row>
      <xdr:rowOff>160020</xdr:rowOff>
    </xdr:to>
    <xdr:sp macro="" textlink="">
      <xdr:nvSpPr>
        <xdr:cNvPr id="6" name="Rectangle: Rounded Corners 5">
          <a:extLst>
            <a:ext uri="{FF2B5EF4-FFF2-40B4-BE49-F238E27FC236}">
              <a16:creationId xmlns:a16="http://schemas.microsoft.com/office/drawing/2014/main" id="{F50BFEF4-0F99-4850-AFFC-B9BD6584F6AF}"/>
            </a:ext>
          </a:extLst>
        </xdr:cNvPr>
        <xdr:cNvSpPr/>
      </xdr:nvSpPr>
      <xdr:spPr>
        <a:xfrm>
          <a:off x="5707380" y="1417320"/>
          <a:ext cx="1531620" cy="571500"/>
        </a:xfrm>
        <a:prstGeom prst="round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3. Social</a:t>
          </a:r>
        </a:p>
      </xdr:txBody>
    </xdr:sp>
    <xdr:clientData/>
  </xdr:twoCellAnchor>
  <xdr:twoCellAnchor>
    <xdr:from>
      <xdr:col>6</xdr:col>
      <xdr:colOff>445770</xdr:colOff>
      <xdr:row>5</xdr:row>
      <xdr:rowOff>0</xdr:rowOff>
    </xdr:from>
    <xdr:to>
      <xdr:col>6</xdr:col>
      <xdr:colOff>445770</xdr:colOff>
      <xdr:row>8</xdr:row>
      <xdr:rowOff>114300</xdr:rowOff>
    </xdr:to>
    <xdr:cxnSp macro="">
      <xdr:nvCxnSpPr>
        <xdr:cNvPr id="8" name="Straight Arrow Connector 7">
          <a:extLst>
            <a:ext uri="{FF2B5EF4-FFF2-40B4-BE49-F238E27FC236}">
              <a16:creationId xmlns:a16="http://schemas.microsoft.com/office/drawing/2014/main" id="{95494ADE-8B17-A0AB-EB57-3959E573D52A}"/>
            </a:ext>
          </a:extLst>
        </xdr:cNvPr>
        <xdr:cNvCxnSpPr>
          <a:stCxn id="3" idx="2"/>
          <a:endCxn id="4" idx="0"/>
        </xdr:cNvCxnSpPr>
      </xdr:nvCxnSpPr>
      <xdr:spPr>
        <a:xfrm>
          <a:off x="4103370" y="914400"/>
          <a:ext cx="0" cy="480060"/>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445770</xdr:colOff>
      <xdr:row>5</xdr:row>
      <xdr:rowOff>0</xdr:rowOff>
    </xdr:from>
    <xdr:to>
      <xdr:col>10</xdr:col>
      <xdr:colOff>377190</xdr:colOff>
      <xdr:row>8</xdr:row>
      <xdr:rowOff>137160</xdr:rowOff>
    </xdr:to>
    <xdr:cxnSp macro="">
      <xdr:nvCxnSpPr>
        <xdr:cNvPr id="13" name="Connector: Elbow 12">
          <a:extLst>
            <a:ext uri="{FF2B5EF4-FFF2-40B4-BE49-F238E27FC236}">
              <a16:creationId xmlns:a16="http://schemas.microsoft.com/office/drawing/2014/main" id="{9D4B78CC-6190-D934-1B34-FA8D6A07C2C5}"/>
            </a:ext>
          </a:extLst>
        </xdr:cNvPr>
        <xdr:cNvCxnSpPr>
          <a:stCxn id="3" idx="2"/>
          <a:endCxn id="6" idx="0"/>
        </xdr:cNvCxnSpPr>
      </xdr:nvCxnSpPr>
      <xdr:spPr>
        <a:xfrm rot="16200000" flipH="1">
          <a:off x="5036820" y="-19050"/>
          <a:ext cx="502920" cy="2369820"/>
        </a:xfrm>
        <a:prstGeom prst="bentConnector3">
          <a:avLst>
            <a:gd name="adj1" fmla="val 4697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567690</xdr:colOff>
      <xdr:row>5</xdr:row>
      <xdr:rowOff>0</xdr:rowOff>
    </xdr:from>
    <xdr:to>
      <xdr:col>6</xdr:col>
      <xdr:colOff>445770</xdr:colOff>
      <xdr:row>8</xdr:row>
      <xdr:rowOff>99060</xdr:rowOff>
    </xdr:to>
    <xdr:cxnSp macro="">
      <xdr:nvCxnSpPr>
        <xdr:cNvPr id="14" name="Connector: Elbow 13">
          <a:extLst>
            <a:ext uri="{FF2B5EF4-FFF2-40B4-BE49-F238E27FC236}">
              <a16:creationId xmlns:a16="http://schemas.microsoft.com/office/drawing/2014/main" id="{4E7A954B-2F3C-4181-8DCF-2D8A2E0D39C5}"/>
            </a:ext>
          </a:extLst>
        </xdr:cNvPr>
        <xdr:cNvCxnSpPr>
          <a:stCxn id="3" idx="2"/>
          <a:endCxn id="5" idx="0"/>
        </xdr:cNvCxnSpPr>
      </xdr:nvCxnSpPr>
      <xdr:spPr>
        <a:xfrm rot="5400000">
          <a:off x="2712720" y="-11430"/>
          <a:ext cx="464820" cy="2316480"/>
        </a:xfrm>
        <a:prstGeom prst="bentConnector3">
          <a:avLst>
            <a:gd name="adj1" fmla="val 5000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365760</xdr:colOff>
      <xdr:row>12</xdr:row>
      <xdr:rowOff>22860</xdr:rowOff>
    </xdr:from>
    <xdr:to>
      <xdr:col>4</xdr:col>
      <xdr:colOff>68580</xdr:colOff>
      <xdr:row>15</xdr:row>
      <xdr:rowOff>45720</xdr:rowOff>
    </xdr:to>
    <xdr:sp macro="" textlink="">
      <xdr:nvSpPr>
        <xdr:cNvPr id="18" name="Rectangle: Rounded Corners 17">
          <a:extLst>
            <a:ext uri="{FF2B5EF4-FFF2-40B4-BE49-F238E27FC236}">
              <a16:creationId xmlns:a16="http://schemas.microsoft.com/office/drawing/2014/main" id="{47F49EDA-D2A2-47FC-93E6-36E4BCB45107}"/>
            </a:ext>
          </a:extLst>
        </xdr:cNvPr>
        <xdr:cNvSpPr/>
      </xdr:nvSpPr>
      <xdr:spPr>
        <a:xfrm>
          <a:off x="975360" y="2034540"/>
          <a:ext cx="1531620" cy="5715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Integration of European transport Market</a:t>
          </a:r>
        </a:p>
      </xdr:txBody>
    </xdr:sp>
    <xdr:clientData/>
  </xdr:twoCellAnchor>
  <xdr:twoCellAnchor>
    <xdr:from>
      <xdr:col>1</xdr:col>
      <xdr:colOff>358140</xdr:colOff>
      <xdr:row>15</xdr:row>
      <xdr:rowOff>152400</xdr:rowOff>
    </xdr:from>
    <xdr:to>
      <xdr:col>4</xdr:col>
      <xdr:colOff>60960</xdr:colOff>
      <xdr:row>20</xdr:row>
      <xdr:rowOff>68580</xdr:rowOff>
    </xdr:to>
    <xdr:sp macro="" textlink="">
      <xdr:nvSpPr>
        <xdr:cNvPr id="19" name="Rectangle: Rounded Corners 18">
          <a:extLst>
            <a:ext uri="{FF2B5EF4-FFF2-40B4-BE49-F238E27FC236}">
              <a16:creationId xmlns:a16="http://schemas.microsoft.com/office/drawing/2014/main" id="{BAF8CCFB-496A-4834-B8E4-B242A1C49610}"/>
            </a:ext>
          </a:extLst>
        </xdr:cNvPr>
        <xdr:cNvSpPr/>
      </xdr:nvSpPr>
      <xdr:spPr>
        <a:xfrm>
          <a:off x="967740" y="2712720"/>
          <a:ext cx="1531620" cy="83058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Location of Companies and logistic centers</a:t>
          </a:r>
        </a:p>
      </xdr:txBody>
    </xdr:sp>
    <xdr:clientData/>
  </xdr:twoCellAnchor>
  <xdr:twoCellAnchor>
    <xdr:from>
      <xdr:col>4</xdr:col>
      <xdr:colOff>586740</xdr:colOff>
      <xdr:row>17</xdr:row>
      <xdr:rowOff>144780</xdr:rowOff>
    </xdr:from>
    <xdr:to>
      <xdr:col>8</xdr:col>
      <xdr:colOff>220980</xdr:colOff>
      <xdr:row>20</xdr:row>
      <xdr:rowOff>167640</xdr:rowOff>
    </xdr:to>
    <xdr:sp macro="" textlink="">
      <xdr:nvSpPr>
        <xdr:cNvPr id="20" name="Rectangle: Rounded Corners 19">
          <a:extLst>
            <a:ext uri="{FF2B5EF4-FFF2-40B4-BE49-F238E27FC236}">
              <a16:creationId xmlns:a16="http://schemas.microsoft.com/office/drawing/2014/main" id="{387F10F9-0727-4BD5-A2AD-2EDB35388469}"/>
            </a:ext>
          </a:extLst>
        </xdr:cNvPr>
        <xdr:cNvSpPr/>
      </xdr:nvSpPr>
      <xdr:spPr>
        <a:xfrm>
          <a:off x="3025140" y="3070860"/>
          <a:ext cx="207264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Non-renewable dependence - (construction + operational)</a:t>
          </a:r>
        </a:p>
      </xdr:txBody>
    </xdr:sp>
    <xdr:clientData/>
  </xdr:twoCellAnchor>
  <xdr:twoCellAnchor>
    <xdr:from>
      <xdr:col>2</xdr:col>
      <xdr:colOff>518160</xdr:colOff>
      <xdr:row>21</xdr:row>
      <xdr:rowOff>160020</xdr:rowOff>
    </xdr:from>
    <xdr:to>
      <xdr:col>5</xdr:col>
      <xdr:colOff>220980</xdr:colOff>
      <xdr:row>26</xdr:row>
      <xdr:rowOff>0</xdr:rowOff>
    </xdr:to>
    <xdr:sp macro="" textlink="">
      <xdr:nvSpPr>
        <xdr:cNvPr id="21" name="Rectangle: Rounded Corners 20">
          <a:extLst>
            <a:ext uri="{FF2B5EF4-FFF2-40B4-BE49-F238E27FC236}">
              <a16:creationId xmlns:a16="http://schemas.microsoft.com/office/drawing/2014/main" id="{32EA4B34-8EAF-44AB-9D4C-4B1058731DC2}"/>
            </a:ext>
          </a:extLst>
        </xdr:cNvPr>
        <xdr:cNvSpPr/>
      </xdr:nvSpPr>
      <xdr:spPr>
        <a:xfrm>
          <a:off x="1737360" y="381762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Gas dependence</a:t>
          </a:r>
        </a:p>
      </xdr:txBody>
    </xdr:sp>
    <xdr:clientData/>
  </xdr:twoCellAnchor>
  <xdr:twoCellAnchor>
    <xdr:from>
      <xdr:col>5</xdr:col>
      <xdr:colOff>251460</xdr:colOff>
      <xdr:row>21</xdr:row>
      <xdr:rowOff>144780</xdr:rowOff>
    </xdr:from>
    <xdr:to>
      <xdr:col>7</xdr:col>
      <xdr:colOff>563880</xdr:colOff>
      <xdr:row>25</xdr:row>
      <xdr:rowOff>167640</xdr:rowOff>
    </xdr:to>
    <xdr:sp macro="" textlink="">
      <xdr:nvSpPr>
        <xdr:cNvPr id="22" name="Rectangle: Rounded Corners 21">
          <a:extLst>
            <a:ext uri="{FF2B5EF4-FFF2-40B4-BE49-F238E27FC236}">
              <a16:creationId xmlns:a16="http://schemas.microsoft.com/office/drawing/2014/main" id="{B3905F4E-DA1F-46AF-BBBF-F2CF13C7B129}"/>
            </a:ext>
          </a:extLst>
        </xdr:cNvPr>
        <xdr:cNvSpPr/>
      </xdr:nvSpPr>
      <xdr:spPr>
        <a:xfrm>
          <a:off x="3299460" y="380238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Oil dependence</a:t>
          </a:r>
        </a:p>
      </xdr:txBody>
    </xdr:sp>
    <xdr:clientData/>
  </xdr:twoCellAnchor>
  <xdr:twoCellAnchor>
    <xdr:from>
      <xdr:col>8</xdr:col>
      <xdr:colOff>15240</xdr:colOff>
      <xdr:row>21</xdr:row>
      <xdr:rowOff>152400</xdr:rowOff>
    </xdr:from>
    <xdr:to>
      <xdr:col>10</xdr:col>
      <xdr:colOff>327660</xdr:colOff>
      <xdr:row>25</xdr:row>
      <xdr:rowOff>175260</xdr:rowOff>
    </xdr:to>
    <xdr:sp macro="" textlink="">
      <xdr:nvSpPr>
        <xdr:cNvPr id="23" name="Rectangle: Rounded Corners 22">
          <a:extLst>
            <a:ext uri="{FF2B5EF4-FFF2-40B4-BE49-F238E27FC236}">
              <a16:creationId xmlns:a16="http://schemas.microsoft.com/office/drawing/2014/main" id="{912E9D52-372A-467F-B7E5-C16CD7D74642}"/>
            </a:ext>
          </a:extLst>
        </xdr:cNvPr>
        <xdr:cNvSpPr/>
      </xdr:nvSpPr>
      <xdr:spPr>
        <a:xfrm>
          <a:off x="4892040" y="381000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Coal</a:t>
          </a:r>
          <a:r>
            <a:rPr lang="en-ID" sz="1400" baseline="0"/>
            <a:t> dependence</a:t>
          </a:r>
          <a:endParaRPr lang="en-ID" sz="1400"/>
        </a:p>
      </xdr:txBody>
    </xdr:sp>
    <xdr:clientData/>
  </xdr:twoCellAnchor>
  <xdr:twoCellAnchor>
    <xdr:from>
      <xdr:col>5</xdr:col>
      <xdr:colOff>251460</xdr:colOff>
      <xdr:row>12</xdr:row>
      <xdr:rowOff>45720</xdr:rowOff>
    </xdr:from>
    <xdr:to>
      <xdr:col>7</xdr:col>
      <xdr:colOff>563880</xdr:colOff>
      <xdr:row>15</xdr:row>
      <xdr:rowOff>68580</xdr:rowOff>
    </xdr:to>
    <xdr:sp macro="" textlink="">
      <xdr:nvSpPr>
        <xdr:cNvPr id="24" name="Rectangle: Rounded Corners 23">
          <a:extLst>
            <a:ext uri="{FF2B5EF4-FFF2-40B4-BE49-F238E27FC236}">
              <a16:creationId xmlns:a16="http://schemas.microsoft.com/office/drawing/2014/main" id="{A51C8B46-18E4-49D8-ADBC-2722A23D93B2}"/>
            </a:ext>
          </a:extLst>
        </xdr:cNvPr>
        <xdr:cNvSpPr/>
      </xdr:nvSpPr>
      <xdr:spPr>
        <a:xfrm>
          <a:off x="3299460" y="205740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050"/>
            <a:t>Ecosystem and Biodiversity Loss</a:t>
          </a:r>
        </a:p>
      </xdr:txBody>
    </xdr:sp>
    <xdr:clientData/>
  </xdr:twoCellAnchor>
  <xdr:twoCellAnchor>
    <xdr:from>
      <xdr:col>9</xdr:col>
      <xdr:colOff>213360</xdr:colOff>
      <xdr:row>12</xdr:row>
      <xdr:rowOff>99060</xdr:rowOff>
    </xdr:from>
    <xdr:to>
      <xdr:col>11</xdr:col>
      <xdr:colOff>525780</xdr:colOff>
      <xdr:row>15</xdr:row>
      <xdr:rowOff>121920</xdr:rowOff>
    </xdr:to>
    <xdr:sp macro="" textlink="">
      <xdr:nvSpPr>
        <xdr:cNvPr id="26" name="Rectangle: Rounded Corners 25">
          <a:extLst>
            <a:ext uri="{FF2B5EF4-FFF2-40B4-BE49-F238E27FC236}">
              <a16:creationId xmlns:a16="http://schemas.microsoft.com/office/drawing/2014/main" id="{62FDC026-1A1E-4C30-9885-9C02B6601B3D}"/>
            </a:ext>
          </a:extLst>
        </xdr:cNvPr>
        <xdr:cNvSpPr/>
      </xdr:nvSpPr>
      <xdr:spPr>
        <a:xfrm>
          <a:off x="5699760" y="2110740"/>
          <a:ext cx="1531620" cy="571500"/>
        </a:xfrm>
        <a:prstGeom prst="round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900"/>
            <a:t>Labour market</a:t>
          </a:r>
          <a:r>
            <a:rPr lang="en-ID" sz="900" baseline="0"/>
            <a:t> and sociographic job distribution</a:t>
          </a:r>
          <a:endParaRPr lang="en-ID" sz="900"/>
        </a:p>
      </xdr:txBody>
    </xdr:sp>
    <xdr:clientData/>
  </xdr:twoCellAnchor>
  <xdr:twoCellAnchor>
    <xdr:from>
      <xdr:col>9</xdr:col>
      <xdr:colOff>213360</xdr:colOff>
      <xdr:row>15</xdr:row>
      <xdr:rowOff>175260</xdr:rowOff>
    </xdr:from>
    <xdr:to>
      <xdr:col>11</xdr:col>
      <xdr:colOff>525780</xdr:colOff>
      <xdr:row>19</xdr:row>
      <xdr:rowOff>15240</xdr:rowOff>
    </xdr:to>
    <xdr:sp macro="" textlink="">
      <xdr:nvSpPr>
        <xdr:cNvPr id="27" name="Rectangle: Rounded Corners 26">
          <a:extLst>
            <a:ext uri="{FF2B5EF4-FFF2-40B4-BE49-F238E27FC236}">
              <a16:creationId xmlns:a16="http://schemas.microsoft.com/office/drawing/2014/main" id="{91E6ADE3-74A3-4F7F-84B9-BAE3B1D2686D}"/>
            </a:ext>
          </a:extLst>
        </xdr:cNvPr>
        <xdr:cNvSpPr/>
      </xdr:nvSpPr>
      <xdr:spPr>
        <a:xfrm>
          <a:off x="5699760" y="2735580"/>
          <a:ext cx="1531620" cy="571500"/>
        </a:xfrm>
        <a:prstGeom prst="round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900"/>
            <a:t>Territorial</a:t>
          </a:r>
          <a:r>
            <a:rPr lang="en-ID" sz="900" baseline="0"/>
            <a:t> cohesion</a:t>
          </a:r>
          <a:endParaRPr lang="en-ID" sz="900"/>
        </a:p>
      </xdr:txBody>
    </xdr:sp>
    <xdr:clientData/>
  </xdr:twoCellAnchor>
  <xdr:twoCellAnchor editAs="oneCell">
    <xdr:from>
      <xdr:col>46</xdr:col>
      <xdr:colOff>29340</xdr:colOff>
      <xdr:row>29</xdr:row>
      <xdr:rowOff>52976</xdr:rowOff>
    </xdr:from>
    <xdr:to>
      <xdr:col>54</xdr:col>
      <xdr:colOff>391538</xdr:colOff>
      <xdr:row>49</xdr:row>
      <xdr:rowOff>107240</xdr:rowOff>
    </xdr:to>
    <xdr:pic>
      <xdr:nvPicPr>
        <xdr:cNvPr id="7" name="Picture 6">
          <a:extLst>
            <a:ext uri="{FF2B5EF4-FFF2-40B4-BE49-F238E27FC236}">
              <a16:creationId xmlns:a16="http://schemas.microsoft.com/office/drawing/2014/main" id="{0C985287-E72B-4392-B1EB-178E20A2A039}"/>
            </a:ext>
          </a:extLst>
        </xdr:cNvPr>
        <xdr:cNvPicPr>
          <a:picLocks noChangeAspect="1"/>
        </xdr:cNvPicPr>
      </xdr:nvPicPr>
      <xdr:blipFill>
        <a:blip xmlns:r="http://schemas.openxmlformats.org/officeDocument/2006/relationships" r:embed="rId2"/>
        <a:stretch>
          <a:fillRect/>
        </a:stretch>
      </xdr:blipFill>
      <xdr:spPr>
        <a:xfrm>
          <a:off x="32615231" y="5428540"/>
          <a:ext cx="5238998" cy="36564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5</xdr:row>
      <xdr:rowOff>171450</xdr:rowOff>
    </xdr:from>
    <xdr:to>
      <xdr:col>8</xdr:col>
      <xdr:colOff>114300</xdr:colOff>
      <xdr:row>20</xdr:row>
      <xdr:rowOff>171450</xdr:rowOff>
    </xdr:to>
    <xdr:graphicFrame macro="">
      <xdr:nvGraphicFramePr>
        <xdr:cNvPr id="2" name="Chart 1">
          <a:extLst>
            <a:ext uri="{FF2B5EF4-FFF2-40B4-BE49-F238E27FC236}">
              <a16:creationId xmlns:a16="http://schemas.microsoft.com/office/drawing/2014/main" id="{BC967A75-38F4-C276-E3E2-E5A84A8B6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17930</xdr:colOff>
      <xdr:row>22</xdr:row>
      <xdr:rowOff>167125</xdr:rowOff>
    </xdr:from>
    <xdr:to>
      <xdr:col>8</xdr:col>
      <xdr:colOff>380128</xdr:colOff>
      <xdr:row>42</xdr:row>
      <xdr:rowOff>50710</xdr:rowOff>
    </xdr:to>
    <xdr:pic>
      <xdr:nvPicPr>
        <xdr:cNvPr id="30" name="Picture 6">
          <a:extLst>
            <a:ext uri="{FF2B5EF4-FFF2-40B4-BE49-F238E27FC236}">
              <a16:creationId xmlns:a16="http://schemas.microsoft.com/office/drawing/2014/main" id="{9FDFAC4D-6DD4-4D9B-8F93-18A1767BC32B}"/>
            </a:ext>
          </a:extLst>
        </xdr:cNvPr>
        <xdr:cNvPicPr>
          <a:picLocks noChangeAspect="1"/>
        </xdr:cNvPicPr>
      </xdr:nvPicPr>
      <xdr:blipFill>
        <a:blip xmlns:r="http://schemas.openxmlformats.org/officeDocument/2006/relationships" r:embed="rId1"/>
        <a:stretch>
          <a:fillRect/>
        </a:stretch>
      </xdr:blipFill>
      <xdr:spPr>
        <a:xfrm>
          <a:off x="17930" y="4111596"/>
          <a:ext cx="5238998" cy="3541185"/>
        </a:xfrm>
        <a:prstGeom prst="rect">
          <a:avLst/>
        </a:prstGeom>
      </xdr:spPr>
    </xdr:pic>
    <xdr:clientData/>
  </xdr:twoCellAnchor>
  <xdr:twoCellAnchor editAs="oneCell">
    <xdr:from>
      <xdr:col>9</xdr:col>
      <xdr:colOff>289013</xdr:colOff>
      <xdr:row>22</xdr:row>
      <xdr:rowOff>89646</xdr:rowOff>
    </xdr:from>
    <xdr:to>
      <xdr:col>19</xdr:col>
      <xdr:colOff>172923</xdr:colOff>
      <xdr:row>41</xdr:row>
      <xdr:rowOff>8474</xdr:rowOff>
    </xdr:to>
    <xdr:pic>
      <xdr:nvPicPr>
        <xdr:cNvPr id="29" name="Picture 7">
          <a:extLst>
            <a:ext uri="{FF2B5EF4-FFF2-40B4-BE49-F238E27FC236}">
              <a16:creationId xmlns:a16="http://schemas.microsoft.com/office/drawing/2014/main" id="{F6306FD8-FF76-4187-B642-B3CE9AF63B44}"/>
            </a:ext>
          </a:extLst>
        </xdr:cNvPr>
        <xdr:cNvPicPr>
          <a:picLocks noChangeAspect="1"/>
        </xdr:cNvPicPr>
      </xdr:nvPicPr>
      <xdr:blipFill>
        <a:blip xmlns:r="http://schemas.openxmlformats.org/officeDocument/2006/relationships" r:embed="rId2"/>
        <a:stretch>
          <a:fillRect/>
        </a:stretch>
      </xdr:blipFill>
      <xdr:spPr>
        <a:xfrm>
          <a:off x="5775413" y="4034117"/>
          <a:ext cx="5979910" cy="3393548"/>
        </a:xfrm>
        <a:prstGeom prst="rect">
          <a:avLst/>
        </a:prstGeom>
      </xdr:spPr>
    </xdr:pic>
    <xdr:clientData/>
  </xdr:twoCellAnchor>
  <xdr:twoCellAnchor editAs="oneCell">
    <xdr:from>
      <xdr:col>0</xdr:col>
      <xdr:colOff>224118</xdr:colOff>
      <xdr:row>8</xdr:row>
      <xdr:rowOff>170329</xdr:rowOff>
    </xdr:from>
    <xdr:to>
      <xdr:col>9</xdr:col>
      <xdr:colOff>466166</xdr:colOff>
      <xdr:row>11</xdr:row>
      <xdr:rowOff>102343</xdr:rowOff>
    </xdr:to>
    <xdr:pic>
      <xdr:nvPicPr>
        <xdr:cNvPr id="25" name="Picture 3">
          <a:extLst>
            <a:ext uri="{FF2B5EF4-FFF2-40B4-BE49-F238E27FC236}">
              <a16:creationId xmlns:a16="http://schemas.microsoft.com/office/drawing/2014/main" id="{74B59279-A5A7-4663-90CC-47BA43F1BD45}"/>
            </a:ext>
          </a:extLst>
        </xdr:cNvPr>
        <xdr:cNvPicPr>
          <a:picLocks noChangeAspect="1"/>
        </xdr:cNvPicPr>
      </xdr:nvPicPr>
      <xdr:blipFill>
        <a:blip xmlns:r="http://schemas.openxmlformats.org/officeDocument/2006/relationships" r:embed="rId3"/>
        <a:stretch>
          <a:fillRect/>
        </a:stretch>
      </xdr:blipFill>
      <xdr:spPr>
        <a:xfrm>
          <a:off x="224118" y="1604682"/>
          <a:ext cx="5728448" cy="960714"/>
        </a:xfrm>
        <a:prstGeom prst="rect">
          <a:avLst/>
        </a:prstGeom>
      </xdr:spPr>
    </xdr:pic>
    <xdr:clientData/>
  </xdr:twoCellAnchor>
  <xdr:twoCellAnchor editAs="oneCell">
    <xdr:from>
      <xdr:col>0</xdr:col>
      <xdr:colOff>197223</xdr:colOff>
      <xdr:row>14</xdr:row>
      <xdr:rowOff>71718</xdr:rowOff>
    </xdr:from>
    <xdr:to>
      <xdr:col>9</xdr:col>
      <xdr:colOff>56053</xdr:colOff>
      <xdr:row>20</xdr:row>
      <xdr:rowOff>23307</xdr:rowOff>
    </xdr:to>
    <xdr:pic>
      <xdr:nvPicPr>
        <xdr:cNvPr id="27" name="Picture 4">
          <a:extLst>
            <a:ext uri="{FF2B5EF4-FFF2-40B4-BE49-F238E27FC236}">
              <a16:creationId xmlns:a16="http://schemas.microsoft.com/office/drawing/2014/main" id="{A73C3A78-E160-4DAA-AE0E-0D80D38ABA44}"/>
            </a:ext>
          </a:extLst>
        </xdr:cNvPr>
        <xdr:cNvPicPr>
          <a:picLocks noChangeAspect="1"/>
        </xdr:cNvPicPr>
      </xdr:nvPicPr>
      <xdr:blipFill>
        <a:blip xmlns:r="http://schemas.openxmlformats.org/officeDocument/2006/relationships" r:embed="rId4"/>
        <a:stretch>
          <a:fillRect/>
        </a:stretch>
      </xdr:blipFill>
      <xdr:spPr>
        <a:xfrm>
          <a:off x="197223" y="2581836"/>
          <a:ext cx="5345230" cy="1048869"/>
        </a:xfrm>
        <a:prstGeom prst="rect">
          <a:avLst/>
        </a:prstGeom>
      </xdr:spPr>
    </xdr:pic>
    <xdr:clientData/>
  </xdr:twoCellAnchor>
  <xdr:twoCellAnchor editAs="oneCell">
    <xdr:from>
      <xdr:col>9</xdr:col>
      <xdr:colOff>340658</xdr:colOff>
      <xdr:row>9</xdr:row>
      <xdr:rowOff>8964</xdr:rowOff>
    </xdr:from>
    <xdr:to>
      <xdr:col>18</xdr:col>
      <xdr:colOff>604562</xdr:colOff>
      <xdr:row>17</xdr:row>
      <xdr:rowOff>20170</xdr:rowOff>
    </xdr:to>
    <xdr:pic>
      <xdr:nvPicPr>
        <xdr:cNvPr id="35" name="Picture 5">
          <a:extLst>
            <a:ext uri="{FF2B5EF4-FFF2-40B4-BE49-F238E27FC236}">
              <a16:creationId xmlns:a16="http://schemas.microsoft.com/office/drawing/2014/main" id="{712B9170-BC68-4460-B7B1-DC849A290271}"/>
            </a:ext>
          </a:extLst>
        </xdr:cNvPr>
        <xdr:cNvPicPr>
          <a:picLocks noChangeAspect="1"/>
        </xdr:cNvPicPr>
      </xdr:nvPicPr>
      <xdr:blipFill>
        <a:blip xmlns:r="http://schemas.openxmlformats.org/officeDocument/2006/relationships" r:embed="rId5"/>
        <a:stretch>
          <a:fillRect/>
        </a:stretch>
      </xdr:blipFill>
      <xdr:spPr>
        <a:xfrm>
          <a:off x="5827058" y="2178423"/>
          <a:ext cx="5750304" cy="19543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xdr:row>
      <xdr:rowOff>0</xdr:rowOff>
    </xdr:from>
    <xdr:to>
      <xdr:col>2</xdr:col>
      <xdr:colOff>5735935</xdr:colOff>
      <xdr:row>18</xdr:row>
      <xdr:rowOff>167734</xdr:rowOff>
    </xdr:to>
    <xdr:pic>
      <xdr:nvPicPr>
        <xdr:cNvPr id="4" name="Picture 3">
          <a:extLst>
            <a:ext uri="{FF2B5EF4-FFF2-40B4-BE49-F238E27FC236}">
              <a16:creationId xmlns:a16="http://schemas.microsoft.com/office/drawing/2014/main" id="{2A5EAD09-5F53-F177-54C7-8F88EA180D97}"/>
            </a:ext>
          </a:extLst>
        </xdr:cNvPr>
        <xdr:cNvPicPr>
          <a:picLocks noChangeAspect="1"/>
        </xdr:cNvPicPr>
      </xdr:nvPicPr>
      <xdr:blipFill>
        <a:blip xmlns:r="http://schemas.openxmlformats.org/officeDocument/2006/relationships" r:embed="rId1"/>
        <a:stretch>
          <a:fillRect/>
        </a:stretch>
      </xdr:blipFill>
      <xdr:spPr>
        <a:xfrm>
          <a:off x="609600" y="2377440"/>
          <a:ext cx="6340389" cy="1082134"/>
        </a:xfrm>
        <a:prstGeom prst="rect">
          <a:avLst/>
        </a:prstGeom>
      </xdr:spPr>
    </xdr:pic>
    <xdr:clientData/>
  </xdr:twoCellAnchor>
  <xdr:twoCellAnchor editAs="oneCell">
    <xdr:from>
      <xdr:col>1</xdr:col>
      <xdr:colOff>0</xdr:colOff>
      <xdr:row>20</xdr:row>
      <xdr:rowOff>0</xdr:rowOff>
    </xdr:from>
    <xdr:to>
      <xdr:col>2</xdr:col>
      <xdr:colOff>5766418</xdr:colOff>
      <xdr:row>26</xdr:row>
      <xdr:rowOff>175370</xdr:rowOff>
    </xdr:to>
    <xdr:pic>
      <xdr:nvPicPr>
        <xdr:cNvPr id="5" name="Picture 4">
          <a:extLst>
            <a:ext uri="{FF2B5EF4-FFF2-40B4-BE49-F238E27FC236}">
              <a16:creationId xmlns:a16="http://schemas.microsoft.com/office/drawing/2014/main" id="{337B508A-9966-8E86-A895-6D52365896C4}"/>
            </a:ext>
          </a:extLst>
        </xdr:cNvPr>
        <xdr:cNvPicPr>
          <a:picLocks noChangeAspect="1"/>
        </xdr:cNvPicPr>
      </xdr:nvPicPr>
      <xdr:blipFill>
        <a:blip xmlns:r="http://schemas.openxmlformats.org/officeDocument/2006/relationships" r:embed="rId2"/>
        <a:stretch>
          <a:fillRect/>
        </a:stretch>
      </xdr:blipFill>
      <xdr:spPr>
        <a:xfrm>
          <a:off x="609600" y="3657600"/>
          <a:ext cx="6370872" cy="1272650"/>
        </a:xfrm>
        <a:prstGeom prst="rect">
          <a:avLst/>
        </a:prstGeom>
      </xdr:spPr>
    </xdr:pic>
    <xdr:clientData/>
  </xdr:twoCellAnchor>
  <xdr:twoCellAnchor editAs="oneCell">
    <xdr:from>
      <xdr:col>1</xdr:col>
      <xdr:colOff>0</xdr:colOff>
      <xdr:row>28</xdr:row>
      <xdr:rowOff>0</xdr:rowOff>
    </xdr:from>
    <xdr:to>
      <xdr:col>2</xdr:col>
      <xdr:colOff>5766418</xdr:colOff>
      <xdr:row>40</xdr:row>
      <xdr:rowOff>15432</xdr:rowOff>
    </xdr:to>
    <xdr:pic>
      <xdr:nvPicPr>
        <xdr:cNvPr id="6" name="Picture 5">
          <a:extLst>
            <a:ext uri="{FF2B5EF4-FFF2-40B4-BE49-F238E27FC236}">
              <a16:creationId xmlns:a16="http://schemas.microsoft.com/office/drawing/2014/main" id="{7069E1A6-1DD2-20D0-41A7-5D6D5197F1BB}"/>
            </a:ext>
          </a:extLst>
        </xdr:cNvPr>
        <xdr:cNvPicPr>
          <a:picLocks noChangeAspect="1"/>
        </xdr:cNvPicPr>
      </xdr:nvPicPr>
      <xdr:blipFill>
        <a:blip xmlns:r="http://schemas.openxmlformats.org/officeDocument/2006/relationships" r:embed="rId3"/>
        <a:stretch>
          <a:fillRect/>
        </a:stretch>
      </xdr:blipFill>
      <xdr:spPr>
        <a:xfrm>
          <a:off x="609600" y="5120640"/>
          <a:ext cx="6370872" cy="2209992"/>
        </a:xfrm>
        <a:prstGeom prst="rect">
          <a:avLst/>
        </a:prstGeom>
      </xdr:spPr>
    </xdr:pic>
    <xdr:clientData/>
  </xdr:twoCellAnchor>
  <xdr:twoCellAnchor editAs="oneCell">
    <xdr:from>
      <xdr:col>1</xdr:col>
      <xdr:colOff>0</xdr:colOff>
      <xdr:row>43</xdr:row>
      <xdr:rowOff>185056</xdr:rowOff>
    </xdr:from>
    <xdr:to>
      <xdr:col>2</xdr:col>
      <xdr:colOff>4629398</xdr:colOff>
      <xdr:row>63</xdr:row>
      <xdr:rowOff>140358</xdr:rowOff>
    </xdr:to>
    <xdr:pic>
      <xdr:nvPicPr>
        <xdr:cNvPr id="7" name="Picture 6">
          <a:extLst>
            <a:ext uri="{FF2B5EF4-FFF2-40B4-BE49-F238E27FC236}">
              <a16:creationId xmlns:a16="http://schemas.microsoft.com/office/drawing/2014/main" id="{CC93A8B0-4B08-638E-1184-9E40496CF3D6}"/>
            </a:ext>
          </a:extLst>
        </xdr:cNvPr>
        <xdr:cNvPicPr>
          <a:picLocks noChangeAspect="1"/>
        </xdr:cNvPicPr>
      </xdr:nvPicPr>
      <xdr:blipFill>
        <a:blip xmlns:r="http://schemas.openxmlformats.org/officeDocument/2006/relationships" r:embed="rId4"/>
        <a:stretch>
          <a:fillRect/>
        </a:stretch>
      </xdr:blipFill>
      <xdr:spPr>
        <a:xfrm>
          <a:off x="609600" y="8142513"/>
          <a:ext cx="5236029" cy="3656445"/>
        </a:xfrm>
        <a:prstGeom prst="rect">
          <a:avLst/>
        </a:prstGeom>
      </xdr:spPr>
    </xdr:pic>
    <xdr:clientData/>
  </xdr:twoCellAnchor>
  <xdr:twoCellAnchor editAs="oneCell">
    <xdr:from>
      <xdr:col>2</xdr:col>
      <xdr:colOff>5191362</xdr:colOff>
      <xdr:row>44</xdr:row>
      <xdr:rowOff>0</xdr:rowOff>
    </xdr:from>
    <xdr:to>
      <xdr:col>3</xdr:col>
      <xdr:colOff>4054192</xdr:colOff>
      <xdr:row>62</xdr:row>
      <xdr:rowOff>166254</xdr:rowOff>
    </xdr:to>
    <xdr:pic>
      <xdr:nvPicPr>
        <xdr:cNvPr id="8" name="Picture 7">
          <a:extLst>
            <a:ext uri="{FF2B5EF4-FFF2-40B4-BE49-F238E27FC236}">
              <a16:creationId xmlns:a16="http://schemas.microsoft.com/office/drawing/2014/main" id="{76A34612-D8DF-E69D-D275-C1A89E8DAA0D}"/>
            </a:ext>
          </a:extLst>
        </xdr:cNvPr>
        <xdr:cNvPicPr>
          <a:picLocks noChangeAspect="1"/>
        </xdr:cNvPicPr>
      </xdr:nvPicPr>
      <xdr:blipFill>
        <a:blip xmlns:r="http://schemas.openxmlformats.org/officeDocument/2006/relationships" r:embed="rId5"/>
        <a:stretch>
          <a:fillRect/>
        </a:stretch>
      </xdr:blipFill>
      <xdr:spPr>
        <a:xfrm>
          <a:off x="6410562" y="7924800"/>
          <a:ext cx="5984066" cy="34082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91440</xdr:colOff>
      <xdr:row>6</xdr:row>
      <xdr:rowOff>60960</xdr:rowOff>
    </xdr:from>
    <xdr:to>
      <xdr:col>10</xdr:col>
      <xdr:colOff>335829</xdr:colOff>
      <xdr:row>12</xdr:row>
      <xdr:rowOff>45814</xdr:rowOff>
    </xdr:to>
    <xdr:pic>
      <xdr:nvPicPr>
        <xdr:cNvPr id="8" name="Picture 3">
          <a:extLst>
            <a:ext uri="{FF2B5EF4-FFF2-40B4-BE49-F238E27FC236}">
              <a16:creationId xmlns:a16="http://schemas.microsoft.com/office/drawing/2014/main" id="{372269C6-1363-4CB1-8743-4E85ACF5F217}"/>
            </a:ext>
          </a:extLst>
        </xdr:cNvPr>
        <xdr:cNvPicPr>
          <a:picLocks noChangeAspect="1"/>
        </xdr:cNvPicPr>
      </xdr:nvPicPr>
      <xdr:blipFill>
        <a:blip xmlns:r="http://schemas.openxmlformats.org/officeDocument/2006/relationships" r:embed="rId1"/>
        <a:stretch>
          <a:fillRect/>
        </a:stretch>
      </xdr:blipFill>
      <xdr:spPr>
        <a:xfrm>
          <a:off x="91440" y="1158240"/>
          <a:ext cx="6340389" cy="1082134"/>
        </a:xfrm>
        <a:prstGeom prst="rect">
          <a:avLst/>
        </a:prstGeom>
      </xdr:spPr>
    </xdr:pic>
    <xdr:clientData/>
  </xdr:twoCellAnchor>
  <xdr:twoCellAnchor editAs="oneCell">
    <xdr:from>
      <xdr:col>0</xdr:col>
      <xdr:colOff>91440</xdr:colOff>
      <xdr:row>13</xdr:row>
      <xdr:rowOff>60960</xdr:rowOff>
    </xdr:from>
    <xdr:to>
      <xdr:col>10</xdr:col>
      <xdr:colOff>366312</xdr:colOff>
      <xdr:row>20</xdr:row>
      <xdr:rowOff>53450</xdr:rowOff>
    </xdr:to>
    <xdr:pic>
      <xdr:nvPicPr>
        <xdr:cNvPr id="9" name="Picture 4">
          <a:extLst>
            <a:ext uri="{FF2B5EF4-FFF2-40B4-BE49-F238E27FC236}">
              <a16:creationId xmlns:a16="http://schemas.microsoft.com/office/drawing/2014/main" id="{1041292D-C031-4A9D-83ED-47926A55149E}"/>
            </a:ext>
          </a:extLst>
        </xdr:cNvPr>
        <xdr:cNvPicPr>
          <a:picLocks noChangeAspect="1"/>
        </xdr:cNvPicPr>
      </xdr:nvPicPr>
      <xdr:blipFill>
        <a:blip xmlns:r="http://schemas.openxmlformats.org/officeDocument/2006/relationships" r:embed="rId2"/>
        <a:stretch>
          <a:fillRect/>
        </a:stretch>
      </xdr:blipFill>
      <xdr:spPr>
        <a:xfrm>
          <a:off x="91440" y="2438400"/>
          <a:ext cx="6370872" cy="1272650"/>
        </a:xfrm>
        <a:prstGeom prst="rect">
          <a:avLst/>
        </a:prstGeom>
      </xdr:spPr>
    </xdr:pic>
    <xdr:clientData/>
  </xdr:twoCellAnchor>
  <xdr:twoCellAnchor editAs="oneCell">
    <xdr:from>
      <xdr:col>0</xdr:col>
      <xdr:colOff>91440</xdr:colOff>
      <xdr:row>21</xdr:row>
      <xdr:rowOff>60960</xdr:rowOff>
    </xdr:from>
    <xdr:to>
      <xdr:col>10</xdr:col>
      <xdr:colOff>366312</xdr:colOff>
      <xdr:row>33</xdr:row>
      <xdr:rowOff>76392</xdr:rowOff>
    </xdr:to>
    <xdr:pic>
      <xdr:nvPicPr>
        <xdr:cNvPr id="10" name="Picture 5">
          <a:extLst>
            <a:ext uri="{FF2B5EF4-FFF2-40B4-BE49-F238E27FC236}">
              <a16:creationId xmlns:a16="http://schemas.microsoft.com/office/drawing/2014/main" id="{4D496D5D-4450-4F0D-9B32-FA00D267B408}"/>
            </a:ext>
          </a:extLst>
        </xdr:cNvPr>
        <xdr:cNvPicPr>
          <a:picLocks noChangeAspect="1"/>
        </xdr:cNvPicPr>
      </xdr:nvPicPr>
      <xdr:blipFill>
        <a:blip xmlns:r="http://schemas.openxmlformats.org/officeDocument/2006/relationships" r:embed="rId3"/>
        <a:stretch>
          <a:fillRect/>
        </a:stretch>
      </xdr:blipFill>
      <xdr:spPr>
        <a:xfrm>
          <a:off x="91440" y="3901440"/>
          <a:ext cx="6370872" cy="2209992"/>
        </a:xfrm>
        <a:prstGeom prst="rect">
          <a:avLst/>
        </a:prstGeom>
      </xdr:spPr>
    </xdr:pic>
    <xdr:clientData/>
  </xdr:twoCellAnchor>
  <xdr:twoCellAnchor editAs="oneCell">
    <xdr:from>
      <xdr:col>0</xdr:col>
      <xdr:colOff>533400</xdr:colOff>
      <xdr:row>35</xdr:row>
      <xdr:rowOff>119349</xdr:rowOff>
    </xdr:from>
    <xdr:to>
      <xdr:col>9</xdr:col>
      <xdr:colOff>426720</xdr:colOff>
      <xdr:row>52</xdr:row>
      <xdr:rowOff>63334</xdr:rowOff>
    </xdr:to>
    <xdr:pic>
      <xdr:nvPicPr>
        <xdr:cNvPr id="18" name="Picture 7">
          <a:extLst>
            <a:ext uri="{FF2B5EF4-FFF2-40B4-BE49-F238E27FC236}">
              <a16:creationId xmlns:a16="http://schemas.microsoft.com/office/drawing/2014/main" id="{0963E681-F3D0-41F5-92A8-528DABFEDCFC}"/>
            </a:ext>
          </a:extLst>
        </xdr:cNvPr>
        <xdr:cNvPicPr>
          <a:picLocks noChangeAspect="1"/>
        </xdr:cNvPicPr>
      </xdr:nvPicPr>
      <xdr:blipFill>
        <a:blip xmlns:r="http://schemas.openxmlformats.org/officeDocument/2006/relationships" r:embed="rId4"/>
        <a:stretch>
          <a:fillRect/>
        </a:stretch>
      </xdr:blipFill>
      <xdr:spPr>
        <a:xfrm>
          <a:off x="533400" y="6520149"/>
          <a:ext cx="5379720" cy="305294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74023</xdr:colOff>
      <xdr:row>27</xdr:row>
      <xdr:rowOff>43543</xdr:rowOff>
    </xdr:from>
    <xdr:to>
      <xdr:col>11</xdr:col>
      <xdr:colOff>508929</xdr:colOff>
      <xdr:row>49</xdr:row>
      <xdr:rowOff>112478</xdr:rowOff>
    </xdr:to>
    <xdr:pic>
      <xdr:nvPicPr>
        <xdr:cNvPr id="2" name="Picture 1">
          <a:extLst>
            <a:ext uri="{FF2B5EF4-FFF2-40B4-BE49-F238E27FC236}">
              <a16:creationId xmlns:a16="http://schemas.microsoft.com/office/drawing/2014/main" id="{79114993-8077-492A-8246-926E47EC3C66}"/>
            </a:ext>
          </a:extLst>
        </xdr:cNvPr>
        <xdr:cNvPicPr>
          <a:picLocks noChangeAspect="1"/>
        </xdr:cNvPicPr>
      </xdr:nvPicPr>
      <xdr:blipFill>
        <a:blip xmlns:r="http://schemas.openxmlformats.org/officeDocument/2006/relationships" r:embed="rId1"/>
        <a:stretch>
          <a:fillRect/>
        </a:stretch>
      </xdr:blipFill>
      <xdr:spPr>
        <a:xfrm>
          <a:off x="683623" y="5126083"/>
          <a:ext cx="6530906" cy="4092295"/>
        </a:xfrm>
        <a:prstGeom prst="rect">
          <a:avLst/>
        </a:prstGeom>
      </xdr:spPr>
    </xdr:pic>
    <xdr:clientData/>
  </xdr:twoCellAnchor>
  <xdr:twoCellAnchor>
    <xdr:from>
      <xdr:col>5</xdr:col>
      <xdr:colOff>289560</xdr:colOff>
      <xdr:row>1</xdr:row>
      <xdr:rowOff>160020</xdr:rowOff>
    </xdr:from>
    <xdr:to>
      <xdr:col>7</xdr:col>
      <xdr:colOff>601980</xdr:colOff>
      <xdr:row>5</xdr:row>
      <xdr:rowOff>0</xdr:rowOff>
    </xdr:to>
    <xdr:sp macro="" textlink="">
      <xdr:nvSpPr>
        <xdr:cNvPr id="3" name="Rectangle: Rounded Corners 2">
          <a:extLst>
            <a:ext uri="{FF2B5EF4-FFF2-40B4-BE49-F238E27FC236}">
              <a16:creationId xmlns:a16="http://schemas.microsoft.com/office/drawing/2014/main" id="{0220AFFB-8F8A-4DF7-8E37-097AFEE31505}"/>
            </a:ext>
          </a:extLst>
        </xdr:cNvPr>
        <xdr:cNvSpPr/>
      </xdr:nvSpPr>
      <xdr:spPr>
        <a:xfrm>
          <a:off x="3337560" y="342900"/>
          <a:ext cx="1531620" cy="716280"/>
        </a:xfrm>
        <a:prstGeom prst="roundRect">
          <a:avLst/>
        </a:prstGeom>
        <a:solidFill>
          <a:srgbClr val="7030A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CRITERIA</a:t>
          </a:r>
        </a:p>
      </xdr:txBody>
    </xdr:sp>
    <xdr:clientData/>
  </xdr:twoCellAnchor>
  <xdr:twoCellAnchor>
    <xdr:from>
      <xdr:col>5</xdr:col>
      <xdr:colOff>289560</xdr:colOff>
      <xdr:row>8</xdr:row>
      <xdr:rowOff>114300</xdr:rowOff>
    </xdr:from>
    <xdr:to>
      <xdr:col>7</xdr:col>
      <xdr:colOff>601980</xdr:colOff>
      <xdr:row>11</xdr:row>
      <xdr:rowOff>137160</xdr:rowOff>
    </xdr:to>
    <xdr:sp macro="" textlink="">
      <xdr:nvSpPr>
        <xdr:cNvPr id="4" name="Rectangle: Rounded Corners 3">
          <a:extLst>
            <a:ext uri="{FF2B5EF4-FFF2-40B4-BE49-F238E27FC236}">
              <a16:creationId xmlns:a16="http://schemas.microsoft.com/office/drawing/2014/main" id="{6C3F77A6-0138-469C-80F1-8F8DA8FC496D}"/>
            </a:ext>
          </a:extLst>
        </xdr:cNvPr>
        <xdr:cNvSpPr/>
      </xdr:nvSpPr>
      <xdr:spPr>
        <a:xfrm>
          <a:off x="3337560" y="172212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2</a:t>
          </a:r>
          <a:r>
            <a:rPr lang="en-ID" sz="1400" baseline="0"/>
            <a:t> Environmental</a:t>
          </a:r>
          <a:endParaRPr lang="en-ID" sz="1400"/>
        </a:p>
      </xdr:txBody>
    </xdr:sp>
    <xdr:clientData/>
  </xdr:twoCellAnchor>
  <xdr:twoCellAnchor>
    <xdr:from>
      <xdr:col>1</xdr:col>
      <xdr:colOff>411480</xdr:colOff>
      <xdr:row>8</xdr:row>
      <xdr:rowOff>99060</xdr:rowOff>
    </xdr:from>
    <xdr:to>
      <xdr:col>4</xdr:col>
      <xdr:colOff>114300</xdr:colOff>
      <xdr:row>11</xdr:row>
      <xdr:rowOff>121920</xdr:rowOff>
    </xdr:to>
    <xdr:sp macro="" textlink="">
      <xdr:nvSpPr>
        <xdr:cNvPr id="5" name="Rectangle: Rounded Corners 4">
          <a:extLst>
            <a:ext uri="{FF2B5EF4-FFF2-40B4-BE49-F238E27FC236}">
              <a16:creationId xmlns:a16="http://schemas.microsoft.com/office/drawing/2014/main" id="{C6656C24-2840-48C0-93F5-BFAFD573441F}"/>
            </a:ext>
          </a:extLst>
        </xdr:cNvPr>
        <xdr:cNvSpPr/>
      </xdr:nvSpPr>
      <xdr:spPr>
        <a:xfrm>
          <a:off x="1021080" y="1706880"/>
          <a:ext cx="1531620" cy="5715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1.</a:t>
          </a:r>
          <a:r>
            <a:rPr lang="en-ID" sz="1400" baseline="0"/>
            <a:t> Economic</a:t>
          </a:r>
          <a:endParaRPr lang="en-ID" sz="1400"/>
        </a:p>
      </xdr:txBody>
    </xdr:sp>
    <xdr:clientData/>
  </xdr:twoCellAnchor>
  <xdr:twoCellAnchor>
    <xdr:from>
      <xdr:col>9</xdr:col>
      <xdr:colOff>220980</xdr:colOff>
      <xdr:row>8</xdr:row>
      <xdr:rowOff>137160</xdr:rowOff>
    </xdr:from>
    <xdr:to>
      <xdr:col>11</xdr:col>
      <xdr:colOff>533400</xdr:colOff>
      <xdr:row>11</xdr:row>
      <xdr:rowOff>160020</xdr:rowOff>
    </xdr:to>
    <xdr:sp macro="" textlink="">
      <xdr:nvSpPr>
        <xdr:cNvPr id="6" name="Rectangle: Rounded Corners 5">
          <a:extLst>
            <a:ext uri="{FF2B5EF4-FFF2-40B4-BE49-F238E27FC236}">
              <a16:creationId xmlns:a16="http://schemas.microsoft.com/office/drawing/2014/main" id="{17DA8C73-17DA-4AFD-91FD-DFAED3CF13F0}"/>
            </a:ext>
          </a:extLst>
        </xdr:cNvPr>
        <xdr:cNvSpPr/>
      </xdr:nvSpPr>
      <xdr:spPr>
        <a:xfrm>
          <a:off x="5707380" y="1744980"/>
          <a:ext cx="1531620" cy="571500"/>
        </a:xfrm>
        <a:prstGeom prst="round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400"/>
            <a:t>3. Social</a:t>
          </a:r>
        </a:p>
      </xdr:txBody>
    </xdr:sp>
    <xdr:clientData/>
  </xdr:twoCellAnchor>
  <xdr:twoCellAnchor>
    <xdr:from>
      <xdr:col>6</xdr:col>
      <xdr:colOff>445770</xdr:colOff>
      <xdr:row>5</xdr:row>
      <xdr:rowOff>0</xdr:rowOff>
    </xdr:from>
    <xdr:to>
      <xdr:col>6</xdr:col>
      <xdr:colOff>445770</xdr:colOff>
      <xdr:row>8</xdr:row>
      <xdr:rowOff>114300</xdr:rowOff>
    </xdr:to>
    <xdr:cxnSp macro="">
      <xdr:nvCxnSpPr>
        <xdr:cNvPr id="7" name="Straight Arrow Connector 6">
          <a:extLst>
            <a:ext uri="{FF2B5EF4-FFF2-40B4-BE49-F238E27FC236}">
              <a16:creationId xmlns:a16="http://schemas.microsoft.com/office/drawing/2014/main" id="{D61A6F69-FC10-43B7-80F6-490FE166DCC9}"/>
            </a:ext>
          </a:extLst>
        </xdr:cNvPr>
        <xdr:cNvCxnSpPr>
          <a:stCxn id="3" idx="2"/>
          <a:endCxn id="4" idx="0"/>
        </xdr:cNvCxnSpPr>
      </xdr:nvCxnSpPr>
      <xdr:spPr>
        <a:xfrm>
          <a:off x="4103370" y="1059180"/>
          <a:ext cx="0" cy="662940"/>
        </a:xfrm>
        <a:prstGeom prst="straightConnector1">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445770</xdr:colOff>
      <xdr:row>5</xdr:row>
      <xdr:rowOff>0</xdr:rowOff>
    </xdr:from>
    <xdr:to>
      <xdr:col>10</xdr:col>
      <xdr:colOff>377190</xdr:colOff>
      <xdr:row>8</xdr:row>
      <xdr:rowOff>137160</xdr:rowOff>
    </xdr:to>
    <xdr:cxnSp macro="">
      <xdr:nvCxnSpPr>
        <xdr:cNvPr id="8" name="Connector: Elbow 7">
          <a:extLst>
            <a:ext uri="{FF2B5EF4-FFF2-40B4-BE49-F238E27FC236}">
              <a16:creationId xmlns:a16="http://schemas.microsoft.com/office/drawing/2014/main" id="{16941BDB-1822-4076-B74E-4454A4237E09}"/>
            </a:ext>
          </a:extLst>
        </xdr:cNvPr>
        <xdr:cNvCxnSpPr>
          <a:stCxn id="3" idx="2"/>
          <a:endCxn id="6" idx="0"/>
        </xdr:cNvCxnSpPr>
      </xdr:nvCxnSpPr>
      <xdr:spPr>
        <a:xfrm rot="16200000" flipH="1">
          <a:off x="4945380" y="217170"/>
          <a:ext cx="685800" cy="2369820"/>
        </a:xfrm>
        <a:prstGeom prst="bentConnector3">
          <a:avLst>
            <a:gd name="adj1" fmla="val 4697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567690</xdr:colOff>
      <xdr:row>5</xdr:row>
      <xdr:rowOff>0</xdr:rowOff>
    </xdr:from>
    <xdr:to>
      <xdr:col>6</xdr:col>
      <xdr:colOff>445770</xdr:colOff>
      <xdr:row>8</xdr:row>
      <xdr:rowOff>99060</xdr:rowOff>
    </xdr:to>
    <xdr:cxnSp macro="">
      <xdr:nvCxnSpPr>
        <xdr:cNvPr id="9" name="Connector: Elbow 8">
          <a:extLst>
            <a:ext uri="{FF2B5EF4-FFF2-40B4-BE49-F238E27FC236}">
              <a16:creationId xmlns:a16="http://schemas.microsoft.com/office/drawing/2014/main" id="{594613A8-822C-4F21-9136-9CF3841867DC}"/>
            </a:ext>
          </a:extLst>
        </xdr:cNvPr>
        <xdr:cNvCxnSpPr>
          <a:stCxn id="3" idx="2"/>
          <a:endCxn id="5" idx="0"/>
        </xdr:cNvCxnSpPr>
      </xdr:nvCxnSpPr>
      <xdr:spPr>
        <a:xfrm rot="5400000">
          <a:off x="2621280" y="224790"/>
          <a:ext cx="647700" cy="2316480"/>
        </a:xfrm>
        <a:prstGeom prst="bentConnector3">
          <a:avLst>
            <a:gd name="adj1" fmla="val 5000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365760</xdr:colOff>
      <xdr:row>12</xdr:row>
      <xdr:rowOff>22860</xdr:rowOff>
    </xdr:from>
    <xdr:to>
      <xdr:col>4</xdr:col>
      <xdr:colOff>68580</xdr:colOff>
      <xdr:row>15</xdr:row>
      <xdr:rowOff>45720</xdr:rowOff>
    </xdr:to>
    <xdr:sp macro="" textlink="">
      <xdr:nvSpPr>
        <xdr:cNvPr id="10" name="Rectangle: Rounded Corners 9">
          <a:extLst>
            <a:ext uri="{FF2B5EF4-FFF2-40B4-BE49-F238E27FC236}">
              <a16:creationId xmlns:a16="http://schemas.microsoft.com/office/drawing/2014/main" id="{FD4D7133-2FD9-430B-93B1-490C46B71DE5}"/>
            </a:ext>
          </a:extLst>
        </xdr:cNvPr>
        <xdr:cNvSpPr/>
      </xdr:nvSpPr>
      <xdr:spPr>
        <a:xfrm>
          <a:off x="975360" y="2362200"/>
          <a:ext cx="1531620" cy="5715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Integration of European transport Market</a:t>
          </a:r>
        </a:p>
      </xdr:txBody>
    </xdr:sp>
    <xdr:clientData/>
  </xdr:twoCellAnchor>
  <xdr:twoCellAnchor>
    <xdr:from>
      <xdr:col>1</xdr:col>
      <xdr:colOff>358140</xdr:colOff>
      <xdr:row>15</xdr:row>
      <xdr:rowOff>152400</xdr:rowOff>
    </xdr:from>
    <xdr:to>
      <xdr:col>4</xdr:col>
      <xdr:colOff>60960</xdr:colOff>
      <xdr:row>20</xdr:row>
      <xdr:rowOff>68580</xdr:rowOff>
    </xdr:to>
    <xdr:sp macro="" textlink="">
      <xdr:nvSpPr>
        <xdr:cNvPr id="11" name="Rectangle: Rounded Corners 10">
          <a:extLst>
            <a:ext uri="{FF2B5EF4-FFF2-40B4-BE49-F238E27FC236}">
              <a16:creationId xmlns:a16="http://schemas.microsoft.com/office/drawing/2014/main" id="{ED54E687-1D2F-4801-8A88-CB4B361B5BD3}"/>
            </a:ext>
          </a:extLst>
        </xdr:cNvPr>
        <xdr:cNvSpPr/>
      </xdr:nvSpPr>
      <xdr:spPr>
        <a:xfrm>
          <a:off x="967740" y="3040380"/>
          <a:ext cx="1531620" cy="83058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Location of Companies and logistic centers</a:t>
          </a:r>
        </a:p>
      </xdr:txBody>
    </xdr:sp>
    <xdr:clientData/>
  </xdr:twoCellAnchor>
  <xdr:twoCellAnchor>
    <xdr:from>
      <xdr:col>4</xdr:col>
      <xdr:colOff>605790</xdr:colOff>
      <xdr:row>15</xdr:row>
      <xdr:rowOff>163830</xdr:rowOff>
    </xdr:from>
    <xdr:to>
      <xdr:col>8</xdr:col>
      <xdr:colOff>240030</xdr:colOff>
      <xdr:row>18</xdr:row>
      <xdr:rowOff>186690</xdr:rowOff>
    </xdr:to>
    <xdr:sp macro="" textlink="">
      <xdr:nvSpPr>
        <xdr:cNvPr id="12" name="Rectangle: Rounded Corners 11">
          <a:extLst>
            <a:ext uri="{FF2B5EF4-FFF2-40B4-BE49-F238E27FC236}">
              <a16:creationId xmlns:a16="http://schemas.microsoft.com/office/drawing/2014/main" id="{20BCE8B6-9697-4E9F-B338-03CE15C4FBF9}"/>
            </a:ext>
          </a:extLst>
        </xdr:cNvPr>
        <xdr:cNvSpPr/>
      </xdr:nvSpPr>
      <xdr:spPr>
        <a:xfrm>
          <a:off x="3044190" y="3154680"/>
          <a:ext cx="2072640" cy="59436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t>Non-renewable dependence - (construction + operational)</a:t>
          </a:r>
        </a:p>
      </xdr:txBody>
    </xdr:sp>
    <xdr:clientData/>
  </xdr:twoCellAnchor>
  <xdr:twoCellAnchor>
    <xdr:from>
      <xdr:col>5</xdr:col>
      <xdr:colOff>251460</xdr:colOff>
      <xdr:row>12</xdr:row>
      <xdr:rowOff>45720</xdr:rowOff>
    </xdr:from>
    <xdr:to>
      <xdr:col>7</xdr:col>
      <xdr:colOff>563880</xdr:colOff>
      <xdr:row>15</xdr:row>
      <xdr:rowOff>68580</xdr:rowOff>
    </xdr:to>
    <xdr:sp macro="" textlink="">
      <xdr:nvSpPr>
        <xdr:cNvPr id="16" name="Rectangle: Rounded Corners 15">
          <a:extLst>
            <a:ext uri="{FF2B5EF4-FFF2-40B4-BE49-F238E27FC236}">
              <a16:creationId xmlns:a16="http://schemas.microsoft.com/office/drawing/2014/main" id="{9E7B1276-13D0-4FEF-9E3E-BE15CBA56129}"/>
            </a:ext>
          </a:extLst>
        </xdr:cNvPr>
        <xdr:cNvSpPr/>
      </xdr:nvSpPr>
      <xdr:spPr>
        <a:xfrm>
          <a:off x="3299460" y="2385060"/>
          <a:ext cx="1531620" cy="571500"/>
        </a:xfrm>
        <a:prstGeom prst="round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050"/>
            <a:t>Ecosystem and Biodiversity Loss</a:t>
          </a:r>
        </a:p>
      </xdr:txBody>
    </xdr:sp>
    <xdr:clientData/>
  </xdr:twoCellAnchor>
  <xdr:twoCellAnchor>
    <xdr:from>
      <xdr:col>9</xdr:col>
      <xdr:colOff>213360</xdr:colOff>
      <xdr:row>12</xdr:row>
      <xdr:rowOff>99060</xdr:rowOff>
    </xdr:from>
    <xdr:to>
      <xdr:col>11</xdr:col>
      <xdr:colOff>525780</xdr:colOff>
      <xdr:row>15</xdr:row>
      <xdr:rowOff>121920</xdr:rowOff>
    </xdr:to>
    <xdr:sp macro="" textlink="">
      <xdr:nvSpPr>
        <xdr:cNvPr id="17" name="Rectangle: Rounded Corners 16">
          <a:extLst>
            <a:ext uri="{FF2B5EF4-FFF2-40B4-BE49-F238E27FC236}">
              <a16:creationId xmlns:a16="http://schemas.microsoft.com/office/drawing/2014/main" id="{9BA90804-7762-4A8B-AA6A-24DB83BA83FD}"/>
            </a:ext>
          </a:extLst>
        </xdr:cNvPr>
        <xdr:cNvSpPr/>
      </xdr:nvSpPr>
      <xdr:spPr>
        <a:xfrm>
          <a:off x="5699760" y="2438400"/>
          <a:ext cx="1531620" cy="571500"/>
        </a:xfrm>
        <a:prstGeom prst="round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900"/>
            <a:t>Labour market</a:t>
          </a:r>
          <a:r>
            <a:rPr lang="en-ID" sz="900" baseline="0"/>
            <a:t> and sociographic job distribution</a:t>
          </a:r>
          <a:endParaRPr lang="en-ID" sz="900"/>
        </a:p>
      </xdr:txBody>
    </xdr:sp>
    <xdr:clientData/>
  </xdr:twoCellAnchor>
  <xdr:twoCellAnchor>
    <xdr:from>
      <xdr:col>9</xdr:col>
      <xdr:colOff>213360</xdr:colOff>
      <xdr:row>15</xdr:row>
      <xdr:rowOff>175260</xdr:rowOff>
    </xdr:from>
    <xdr:to>
      <xdr:col>11</xdr:col>
      <xdr:colOff>525780</xdr:colOff>
      <xdr:row>19</xdr:row>
      <xdr:rowOff>15240</xdr:rowOff>
    </xdr:to>
    <xdr:sp macro="" textlink="">
      <xdr:nvSpPr>
        <xdr:cNvPr id="18" name="Rectangle: Rounded Corners 17">
          <a:extLst>
            <a:ext uri="{FF2B5EF4-FFF2-40B4-BE49-F238E27FC236}">
              <a16:creationId xmlns:a16="http://schemas.microsoft.com/office/drawing/2014/main" id="{BBEDFA71-DC63-431F-9D4B-C993BA87C2CA}"/>
            </a:ext>
          </a:extLst>
        </xdr:cNvPr>
        <xdr:cNvSpPr/>
      </xdr:nvSpPr>
      <xdr:spPr>
        <a:xfrm>
          <a:off x="5699760" y="3063240"/>
          <a:ext cx="1531620" cy="571500"/>
        </a:xfrm>
        <a:prstGeom prst="round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900"/>
            <a:t>Territorial</a:t>
          </a:r>
          <a:r>
            <a:rPr lang="en-ID" sz="900" baseline="0"/>
            <a:t> cohesion</a:t>
          </a:r>
          <a:endParaRPr lang="en-ID" sz="900"/>
        </a:p>
      </xdr:txBody>
    </xdr:sp>
    <xdr:clientData/>
  </xdr:twoCellAnchor>
  <xdr:twoCellAnchor editAs="oneCell">
    <xdr:from>
      <xdr:col>48</xdr:col>
      <xdr:colOff>193964</xdr:colOff>
      <xdr:row>50</xdr:row>
      <xdr:rowOff>138546</xdr:rowOff>
    </xdr:from>
    <xdr:to>
      <xdr:col>53</xdr:col>
      <xdr:colOff>378229</xdr:colOff>
      <xdr:row>67</xdr:row>
      <xdr:rowOff>166648</xdr:rowOff>
    </xdr:to>
    <xdr:pic>
      <xdr:nvPicPr>
        <xdr:cNvPr id="19" name="Picture 7">
          <a:extLst>
            <a:ext uri="{FF2B5EF4-FFF2-40B4-BE49-F238E27FC236}">
              <a16:creationId xmlns:a16="http://schemas.microsoft.com/office/drawing/2014/main" id="{0363C8A3-A8AF-4B99-8AC3-FCB571713519}"/>
            </a:ext>
          </a:extLst>
        </xdr:cNvPr>
        <xdr:cNvPicPr>
          <a:picLocks noChangeAspect="1"/>
        </xdr:cNvPicPr>
      </xdr:nvPicPr>
      <xdr:blipFill>
        <a:blip xmlns:r="http://schemas.openxmlformats.org/officeDocument/2006/relationships" r:embed="rId2"/>
        <a:stretch>
          <a:fillRect/>
        </a:stretch>
      </xdr:blipFill>
      <xdr:spPr>
        <a:xfrm>
          <a:off x="31283564" y="9296401"/>
          <a:ext cx="5379720" cy="3089956"/>
        </a:xfrm>
        <a:prstGeom prst="rect">
          <a:avLst/>
        </a:prstGeom>
      </xdr:spPr>
    </xdr:pic>
    <xdr:clientData/>
  </xdr:twoCellAnchor>
  <xdr:twoCellAnchor>
    <xdr:from>
      <xdr:col>63</xdr:col>
      <xdr:colOff>1032162</xdr:colOff>
      <xdr:row>50</xdr:row>
      <xdr:rowOff>27708</xdr:rowOff>
    </xdr:from>
    <xdr:to>
      <xdr:col>70</xdr:col>
      <xdr:colOff>576942</xdr:colOff>
      <xdr:row>65</xdr:row>
      <xdr:rowOff>69272</xdr:rowOff>
    </xdr:to>
    <xdr:graphicFrame macro="">
      <xdr:nvGraphicFramePr>
        <xdr:cNvPr id="20" name="Chart 19">
          <a:extLst>
            <a:ext uri="{FF2B5EF4-FFF2-40B4-BE49-F238E27FC236}">
              <a16:creationId xmlns:a16="http://schemas.microsoft.com/office/drawing/2014/main" id="{D6143FD3-921E-020B-9263-DEF86EFD7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63</xdr:col>
      <xdr:colOff>1034142</xdr:colOff>
      <xdr:row>66</xdr:row>
      <xdr:rowOff>1</xdr:rowOff>
    </xdr:from>
    <xdr:to>
      <xdr:col>71</xdr:col>
      <xdr:colOff>43542</xdr:colOff>
      <xdr:row>81</xdr:row>
      <xdr:rowOff>41565</xdr:rowOff>
    </xdr:to>
    <xdr:graphicFrame macro="">
      <xdr:nvGraphicFramePr>
        <xdr:cNvPr id="21" name="Chart 20">
          <a:extLst>
            <a:ext uri="{FF2B5EF4-FFF2-40B4-BE49-F238E27FC236}">
              <a16:creationId xmlns:a16="http://schemas.microsoft.com/office/drawing/2014/main" id="{D0808807-ED09-4962-A342-9A7662A47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588818</xdr:colOff>
      <xdr:row>39</xdr:row>
      <xdr:rowOff>0</xdr:rowOff>
    </xdr:from>
    <xdr:to>
      <xdr:col>23</xdr:col>
      <xdr:colOff>41563</xdr:colOff>
      <xdr:row>56</xdr:row>
      <xdr:rowOff>152400</xdr:rowOff>
    </xdr:to>
    <xdr:graphicFrame macro="">
      <xdr:nvGraphicFramePr>
        <xdr:cNvPr id="3" name="Chart 2">
          <a:extLst>
            <a:ext uri="{FF2B5EF4-FFF2-40B4-BE49-F238E27FC236}">
              <a16:creationId xmlns:a16="http://schemas.microsoft.com/office/drawing/2014/main" id="{1D37246C-FCC9-CC68-6022-1DAC7F5DA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609599</xdr:colOff>
      <xdr:row>60</xdr:row>
      <xdr:rowOff>0</xdr:rowOff>
    </xdr:from>
    <xdr:to>
      <xdr:col>23</xdr:col>
      <xdr:colOff>27708</xdr:colOff>
      <xdr:row>77</xdr:row>
      <xdr:rowOff>152399</xdr:rowOff>
    </xdr:to>
    <xdr:graphicFrame macro="">
      <xdr:nvGraphicFramePr>
        <xdr:cNvPr id="4" name="Chart 3">
          <a:extLst>
            <a:ext uri="{FF2B5EF4-FFF2-40B4-BE49-F238E27FC236}">
              <a16:creationId xmlns:a16="http://schemas.microsoft.com/office/drawing/2014/main" id="{5FE29045-E0D1-4E50-AD5B-3E3EF227E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ayback.archive-it.org/12090/20221208085852/https:/ec.europa.eu/inea/en/ten-t/ten-t-projects/projects-by-priority-project/priority-project-1" TargetMode="External"/><Relationship Id="rId3" Type="http://schemas.openxmlformats.org/officeDocument/2006/relationships/hyperlink" Target="https://wayback.archive-it.org/12090/20221208085852/https:/ec.europa.eu/inea/en/ten-t/ten-t-projects/projects-by-priority-project/priority-project-12" TargetMode="External"/><Relationship Id="rId7" Type="http://schemas.openxmlformats.org/officeDocument/2006/relationships/hyperlink" Target="https://wayback.archive-it.org/12090/20221208085852/https:/ec.europa.eu/inea/en/ten-t/ten-t-projects/projects-by-priority-project/priority-project-3" TargetMode="External"/><Relationship Id="rId2" Type="http://schemas.openxmlformats.org/officeDocument/2006/relationships/hyperlink" Target="https://wayback.archive-it.org/12090/20221208085852/https:/ec.europa.eu/inea/en/ten-t/ten-t-projects/projects-by-priority-project/priority-project-13" TargetMode="External"/><Relationship Id="rId1" Type="http://schemas.openxmlformats.org/officeDocument/2006/relationships/hyperlink" Target="https://wayback.archive-it.org/12090/20221208085852/https:/ec.europa.eu/inea/en/ten-t/ten-t-projects/projects-by-priority-project/priority-project-16" TargetMode="External"/><Relationship Id="rId6" Type="http://schemas.openxmlformats.org/officeDocument/2006/relationships/hyperlink" Target="https://wayback.archive-it.org/12090/20221208085852/https:/ec.europa.eu/inea/en/ten-t/ten-t-projects/projects-by-priority-project/priority-project-9" TargetMode="External"/><Relationship Id="rId5" Type="http://schemas.openxmlformats.org/officeDocument/2006/relationships/hyperlink" Target="https://wayback.archive-it.org/12090/20221208085852/https:/ec.europa.eu/inea/en/ten-t/ten-t-projects/projects-by-priority-project/priority-project-10" TargetMode="External"/><Relationship Id="rId10" Type="http://schemas.openxmlformats.org/officeDocument/2006/relationships/hyperlink" Target="https://wayback.archive-it.org/12090/20221208085852/https:/ec.europa.eu/inea/en/ten-t/ten-t-projects/projects-by-priority-project/priority-project-20" TargetMode="External"/><Relationship Id="rId4" Type="http://schemas.openxmlformats.org/officeDocument/2006/relationships/hyperlink" Target="https://wayback.archive-it.org/12090/20221208085852/https:/ec.europa.eu/inea/en/ten-t/ten-t-projects/projects-by-priority-project/priority-project-11" TargetMode="External"/><Relationship Id="rId9" Type="http://schemas.openxmlformats.org/officeDocument/2006/relationships/hyperlink" Target="https://wayback.archive-it.org/12090/20221208085852/https:/ec.europa.eu/inea/en/ten-t/ten-t-projects/projects-by-priority-project/priority-project-1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ayback.archive-it.org/12090/20221208085852/https:/ec.europa.eu/inea/en/ten-t/ten-t-projects/projects-by-priority-project/priority-project-1" TargetMode="External"/><Relationship Id="rId3" Type="http://schemas.openxmlformats.org/officeDocument/2006/relationships/hyperlink" Target="https://wayback.archive-it.org/12090/20221208085852/https:/ec.europa.eu/inea/en/ten-t/ten-t-projects/projects-by-priority-project/priority-project-12" TargetMode="External"/><Relationship Id="rId7" Type="http://schemas.openxmlformats.org/officeDocument/2006/relationships/hyperlink" Target="https://wayback.archive-it.org/12090/20221208085852/https:/ec.europa.eu/inea/en/ten-t/ten-t-projects/projects-by-priority-project/priority-project-3" TargetMode="External"/><Relationship Id="rId2" Type="http://schemas.openxmlformats.org/officeDocument/2006/relationships/hyperlink" Target="https://wayback.archive-it.org/12090/20221208085852/https:/ec.europa.eu/inea/en/ten-t/ten-t-projects/projects-by-priority-project/priority-project-13" TargetMode="External"/><Relationship Id="rId1" Type="http://schemas.openxmlformats.org/officeDocument/2006/relationships/hyperlink" Target="https://wayback.archive-it.org/12090/20221208085852/https:/ec.europa.eu/inea/en/ten-t/ten-t-projects/projects-by-priority-project/priority-project-16" TargetMode="External"/><Relationship Id="rId6" Type="http://schemas.openxmlformats.org/officeDocument/2006/relationships/hyperlink" Target="https://wayback.archive-it.org/12090/20221208085852/https:/ec.europa.eu/inea/en/ten-t/ten-t-projects/projects-by-priority-project/priority-project-9" TargetMode="External"/><Relationship Id="rId5" Type="http://schemas.openxmlformats.org/officeDocument/2006/relationships/hyperlink" Target="https://wayback.archive-it.org/12090/20221208085852/https:/ec.europa.eu/inea/en/ten-t/ten-t-projects/projects-by-priority-project/priority-project-10" TargetMode="External"/><Relationship Id="rId10" Type="http://schemas.openxmlformats.org/officeDocument/2006/relationships/hyperlink" Target="https://wayback.archive-it.org/12090/20221208085852/https:/ec.europa.eu/inea/en/ten-t/ten-t-projects/projects-by-priority-project/priority-project-20" TargetMode="External"/><Relationship Id="rId4" Type="http://schemas.openxmlformats.org/officeDocument/2006/relationships/hyperlink" Target="https://wayback.archive-it.org/12090/20221208085852/https:/ec.europa.eu/inea/en/ten-t/ten-t-projects/projects-by-priority-project/priority-project-11" TargetMode="External"/><Relationship Id="rId9" Type="http://schemas.openxmlformats.org/officeDocument/2006/relationships/hyperlink" Target="https://wayback.archive-it.org/12090/20221208085852/https:/ec.europa.eu/inea/en/ten-t/ten-t-projects/projects-by-priority-project/priority-project-18"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ayback.archive-it.org/12090/20221208085852/https:/ec.europa.eu/inea/en/ten-t/ten-t-projects/projects-by-priority-project/priority-project-1" TargetMode="External"/><Relationship Id="rId3" Type="http://schemas.openxmlformats.org/officeDocument/2006/relationships/hyperlink" Target="https://wayback.archive-it.org/12090/20221208085852/https:/ec.europa.eu/inea/en/ten-t/ten-t-projects/projects-by-priority-project/priority-project-12" TargetMode="External"/><Relationship Id="rId7" Type="http://schemas.openxmlformats.org/officeDocument/2006/relationships/hyperlink" Target="https://wayback.archive-it.org/12090/20221208085852/https:/ec.europa.eu/inea/en/ten-t/ten-t-projects/projects-by-priority-project/priority-project-3" TargetMode="External"/><Relationship Id="rId2" Type="http://schemas.openxmlformats.org/officeDocument/2006/relationships/hyperlink" Target="https://wayback.archive-it.org/12090/20221208085852/https:/ec.europa.eu/inea/en/ten-t/ten-t-projects/projects-by-priority-project/priority-project-13" TargetMode="External"/><Relationship Id="rId1" Type="http://schemas.openxmlformats.org/officeDocument/2006/relationships/hyperlink" Target="https://wayback.archive-it.org/12090/20221208085852/https:/ec.europa.eu/inea/en/ten-t/ten-t-projects/projects-by-priority-project/priority-project-16" TargetMode="External"/><Relationship Id="rId6" Type="http://schemas.openxmlformats.org/officeDocument/2006/relationships/hyperlink" Target="https://wayback.archive-it.org/12090/20221208085852/https:/ec.europa.eu/inea/en/ten-t/ten-t-projects/projects-by-priority-project/priority-project-9" TargetMode="External"/><Relationship Id="rId5" Type="http://schemas.openxmlformats.org/officeDocument/2006/relationships/hyperlink" Target="https://wayback.archive-it.org/12090/20221208085852/https:/ec.europa.eu/inea/en/ten-t/ten-t-projects/projects-by-priority-project/priority-project-10" TargetMode="External"/><Relationship Id="rId10" Type="http://schemas.openxmlformats.org/officeDocument/2006/relationships/hyperlink" Target="https://wayback.archive-it.org/12090/20221208085852/https:/ec.europa.eu/inea/en/ten-t/ten-t-projects/projects-by-priority-project/priority-project-20" TargetMode="External"/><Relationship Id="rId4" Type="http://schemas.openxmlformats.org/officeDocument/2006/relationships/hyperlink" Target="https://wayback.archive-it.org/12090/20221208085852/https:/ec.europa.eu/inea/en/ten-t/ten-t-projects/projects-by-priority-project/priority-project-11" TargetMode="External"/><Relationship Id="rId9" Type="http://schemas.openxmlformats.org/officeDocument/2006/relationships/hyperlink" Target="https://wayback.archive-it.org/12090/20221208085852/https:/ec.europa.eu/inea/en/ten-t/ten-t-projects/projects-by-priority-project/priority-project-1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ayback.archive-it.org/12090/20221208085852/https:/ec.europa.eu/inea/en/ten-t/ten-t-projects/projects-by-priority-project/priority-project-1" TargetMode="External"/><Relationship Id="rId3" Type="http://schemas.openxmlformats.org/officeDocument/2006/relationships/hyperlink" Target="https://wayback.archive-it.org/12090/20221208085852/https:/ec.europa.eu/inea/en/ten-t/ten-t-projects/projects-by-priority-project/priority-project-12" TargetMode="External"/><Relationship Id="rId7" Type="http://schemas.openxmlformats.org/officeDocument/2006/relationships/hyperlink" Target="https://wayback.archive-it.org/12090/20221208085852/https:/ec.europa.eu/inea/en/ten-t/ten-t-projects/projects-by-priority-project/priority-project-3" TargetMode="External"/><Relationship Id="rId2" Type="http://schemas.openxmlformats.org/officeDocument/2006/relationships/hyperlink" Target="https://wayback.archive-it.org/12090/20221208085852/https:/ec.europa.eu/inea/en/ten-t/ten-t-projects/projects-by-priority-project/priority-project-13" TargetMode="External"/><Relationship Id="rId1" Type="http://schemas.openxmlformats.org/officeDocument/2006/relationships/hyperlink" Target="https://wayback.archive-it.org/12090/20221208085852/https:/ec.europa.eu/inea/en/ten-t/ten-t-projects/projects-by-priority-project/priority-project-16" TargetMode="External"/><Relationship Id="rId6" Type="http://schemas.openxmlformats.org/officeDocument/2006/relationships/hyperlink" Target="https://wayback.archive-it.org/12090/20221208085852/https:/ec.europa.eu/inea/en/ten-t/ten-t-projects/projects-by-priority-project/priority-project-9" TargetMode="External"/><Relationship Id="rId5" Type="http://schemas.openxmlformats.org/officeDocument/2006/relationships/hyperlink" Target="https://wayback.archive-it.org/12090/20221208085852/https:/ec.europa.eu/inea/en/ten-t/ten-t-projects/projects-by-priority-project/priority-project-10" TargetMode="External"/><Relationship Id="rId10" Type="http://schemas.openxmlformats.org/officeDocument/2006/relationships/hyperlink" Target="https://wayback.archive-it.org/12090/20221208085852/https:/ec.europa.eu/inea/en/ten-t/ten-t-projects/projects-by-priority-project/priority-project-20" TargetMode="External"/><Relationship Id="rId4" Type="http://schemas.openxmlformats.org/officeDocument/2006/relationships/hyperlink" Target="https://wayback.archive-it.org/12090/20221208085852/https:/ec.europa.eu/inea/en/ten-t/ten-t-projects/projects-by-priority-project/priority-project-11" TargetMode="External"/><Relationship Id="rId9" Type="http://schemas.openxmlformats.org/officeDocument/2006/relationships/hyperlink" Target="https://wayback.archive-it.org/12090/20221208085852/https:/ec.europa.eu/inea/en/ten-t/ten-t-projects/projects-by-priority-project/priority-project-18"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tandfonline.com/doi/full/10.1080/09654313.2022.2143713" TargetMode="External"/><Relationship Id="rId1" Type="http://schemas.openxmlformats.org/officeDocument/2006/relationships/hyperlink" Target="https://t4america.org/2021/03/15/road-and-public-transit-maintenance-creates-more-jobs-than-building-new-highways/"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2A392-508C-43ED-B27F-9CD714A8A98F}">
  <dimension ref="B1:I13"/>
  <sheetViews>
    <sheetView zoomScale="85" zoomScaleNormal="85" workbookViewId="0">
      <selection activeCell="D25" sqref="D25"/>
    </sheetView>
  </sheetViews>
  <sheetFormatPr defaultRowHeight="14.4" x14ac:dyDescent="0.3"/>
  <cols>
    <col min="1" max="1" width="3.44140625" customWidth="1"/>
    <col min="2" max="2" width="11.33203125" bestFit="1" customWidth="1"/>
    <col min="3" max="3" width="68" bestFit="1" customWidth="1"/>
    <col min="4" max="4" width="19.33203125" bestFit="1" customWidth="1"/>
    <col min="5" max="5" width="23.6640625" customWidth="1"/>
    <col min="6" max="6" width="20.5546875" customWidth="1"/>
    <col min="7" max="7" width="20.33203125" customWidth="1"/>
    <col min="8" max="8" width="16.5546875" customWidth="1"/>
    <col min="9" max="9" width="16.33203125" customWidth="1"/>
  </cols>
  <sheetData>
    <row r="1" spans="2:9" ht="15" thickBot="1" x14ac:dyDescent="0.35"/>
    <row r="2" spans="2:9" ht="15" thickBot="1" x14ac:dyDescent="0.35">
      <c r="C2" s="38" t="s">
        <v>0</v>
      </c>
      <c r="D2" s="39">
        <v>5</v>
      </c>
      <c r="E2" s="39">
        <v>8</v>
      </c>
      <c r="F2" s="39">
        <v>7</v>
      </c>
      <c r="G2" s="39">
        <v>3</v>
      </c>
      <c r="H2" s="39">
        <v>9</v>
      </c>
      <c r="I2" s="40">
        <v>2</v>
      </c>
    </row>
    <row r="3" spans="2:9" ht="27.6" customHeight="1" x14ac:dyDescent="0.3">
      <c r="B3" s="5" t="s">
        <v>1</v>
      </c>
      <c r="C3" s="6" t="s">
        <v>2</v>
      </c>
      <c r="D3" s="7" t="s">
        <v>3</v>
      </c>
      <c r="E3" s="7" t="s">
        <v>4</v>
      </c>
      <c r="F3" s="7" t="s">
        <v>5</v>
      </c>
      <c r="G3" s="7" t="s">
        <v>6</v>
      </c>
      <c r="H3" s="12" t="s">
        <v>7</v>
      </c>
      <c r="I3" s="13" t="s">
        <v>8</v>
      </c>
    </row>
    <row r="4" spans="2:9" x14ac:dyDescent="0.3">
      <c r="B4" s="8">
        <v>1</v>
      </c>
      <c r="C4" s="3" t="s">
        <v>9</v>
      </c>
      <c r="D4" s="2"/>
      <c r="E4" s="2"/>
      <c r="F4" s="2"/>
      <c r="G4" s="2"/>
      <c r="H4" s="14"/>
      <c r="I4" s="15"/>
    </row>
    <row r="5" spans="2:9" x14ac:dyDescent="0.3">
      <c r="B5" s="8">
        <v>3</v>
      </c>
      <c r="C5" s="3" t="s">
        <v>10</v>
      </c>
      <c r="D5" s="2"/>
      <c r="E5" s="2"/>
      <c r="F5" s="2"/>
      <c r="G5" s="2"/>
      <c r="H5" s="14"/>
      <c r="I5" s="15"/>
    </row>
    <row r="6" spans="2:9" x14ac:dyDescent="0.3">
      <c r="B6" s="8">
        <v>9</v>
      </c>
      <c r="C6" s="4" t="s">
        <v>11</v>
      </c>
      <c r="D6" s="2"/>
      <c r="E6" s="2"/>
      <c r="F6" s="2"/>
      <c r="G6" s="2"/>
      <c r="H6" s="14"/>
      <c r="I6" s="15"/>
    </row>
    <row r="7" spans="2:9" x14ac:dyDescent="0.3">
      <c r="B7" s="8">
        <v>10</v>
      </c>
      <c r="C7" s="3" t="s">
        <v>12</v>
      </c>
      <c r="D7" s="2"/>
      <c r="E7" s="2"/>
      <c r="F7" s="2"/>
      <c r="G7" s="2"/>
      <c r="H7" s="14"/>
      <c r="I7" s="15"/>
    </row>
    <row r="8" spans="2:9" x14ac:dyDescent="0.3">
      <c r="B8" s="8">
        <v>11</v>
      </c>
      <c r="C8" s="3" t="s">
        <v>13</v>
      </c>
      <c r="D8" s="2"/>
      <c r="E8" s="2"/>
      <c r="F8" s="2"/>
      <c r="G8" s="2"/>
      <c r="H8" s="14"/>
      <c r="I8" s="15"/>
    </row>
    <row r="9" spans="2:9" x14ac:dyDescent="0.3">
      <c r="B9" s="8">
        <v>12</v>
      </c>
      <c r="C9" s="3" t="s">
        <v>14</v>
      </c>
      <c r="D9" s="2"/>
      <c r="E9" s="2"/>
      <c r="F9" s="2"/>
      <c r="G9" s="2"/>
      <c r="H9" s="14"/>
      <c r="I9" s="15"/>
    </row>
    <row r="10" spans="2:9" x14ac:dyDescent="0.3">
      <c r="B10" s="8">
        <v>13</v>
      </c>
      <c r="C10" s="3" t="s">
        <v>15</v>
      </c>
      <c r="D10" s="2"/>
      <c r="E10" s="2"/>
      <c r="F10" s="2"/>
      <c r="G10" s="2"/>
      <c r="H10" s="14"/>
      <c r="I10" s="15"/>
    </row>
    <row r="11" spans="2:9" x14ac:dyDescent="0.3">
      <c r="B11" s="8">
        <v>16</v>
      </c>
      <c r="C11" s="3" t="s">
        <v>16</v>
      </c>
      <c r="D11" s="2"/>
      <c r="E11" s="2"/>
      <c r="F11" s="2"/>
      <c r="G11" s="2"/>
      <c r="H11" s="14"/>
      <c r="I11" s="15"/>
    </row>
    <row r="12" spans="2:9" x14ac:dyDescent="0.3">
      <c r="B12" s="8">
        <v>18</v>
      </c>
      <c r="C12" s="3" t="s">
        <v>17</v>
      </c>
      <c r="D12" s="2"/>
      <c r="E12" s="2"/>
      <c r="F12" s="2"/>
      <c r="G12" s="2"/>
      <c r="H12" s="14"/>
      <c r="I12" s="15"/>
    </row>
    <row r="13" spans="2:9" ht="15" thickBot="1" x14ac:dyDescent="0.35">
      <c r="B13" s="9">
        <v>20</v>
      </c>
      <c r="C13" s="10" t="s">
        <v>18</v>
      </c>
      <c r="D13" s="11"/>
      <c r="E13" s="11"/>
      <c r="F13" s="11"/>
      <c r="G13" s="11"/>
      <c r="H13" s="16"/>
      <c r="I13" s="17"/>
    </row>
  </sheetData>
  <hyperlinks>
    <hyperlink ref="C11" r:id="rId1" display="https://wayback.archive-it.org/12090/20221208085852/https:/ec.europa.eu/inea/en/ten-t/ten-t-projects/projects-by-priority-project/priority-project-16" xr:uid="{B0AEF132-A3DF-4BF8-980B-5D521982C04A}"/>
    <hyperlink ref="C10" r:id="rId2" display="https://wayback.archive-it.org/12090/20221208085852/https:/ec.europa.eu/inea/en/ten-t/ten-t-projects/projects-by-priority-project/priority-project-13" xr:uid="{66130A1E-302E-40B5-BC66-B547E173ACA7}"/>
    <hyperlink ref="C9" r:id="rId3" display="https://wayback.archive-it.org/12090/20221208085852/https:/ec.europa.eu/inea/en/ten-t/ten-t-projects/projects-by-priority-project/priority-project-12" xr:uid="{5993B4E7-E0CC-4647-B8B5-26FD5F9714B0}"/>
    <hyperlink ref="C8" r:id="rId4" display="https://wayback.archive-it.org/12090/20221208085852/https:/ec.europa.eu/inea/en/ten-t/ten-t-projects/projects-by-priority-project/priority-project-11" xr:uid="{03B71259-A570-4019-BB84-DAAE3651EE8C}"/>
    <hyperlink ref="C7" r:id="rId5" display="https://wayback.archive-it.org/12090/20221208085852/https:/ec.europa.eu/inea/en/ten-t/ten-t-projects/projects-by-priority-project/priority-project-10" xr:uid="{DF6260D8-3280-406D-BDCA-5E3DA2F71424}"/>
    <hyperlink ref="C6" r:id="rId6" display="https://wayback.archive-it.org/12090/20221208085852/https:/ec.europa.eu/inea/en/ten-t/ten-t-projects/projects-by-priority-project/priority-project-9" xr:uid="{21A427F0-5DA5-47A0-A971-131429E33ACA}"/>
    <hyperlink ref="C5" r:id="rId7" display="https://wayback.archive-it.org/12090/20221208085852/https:/ec.europa.eu/inea/en/ten-t/ten-t-projects/projects-by-priority-project/priority-project-3" xr:uid="{8CC17A84-D74A-4B5F-9523-F4183E67799E}"/>
    <hyperlink ref="C4" r:id="rId8" display="https://wayback.archive-it.org/12090/20221208085852/https:/ec.europa.eu/inea/en/ten-t/ten-t-projects/projects-by-priority-project/priority-project-1" xr:uid="{7D9465FC-3733-4F69-9601-C8B80E3E34DD}"/>
    <hyperlink ref="C12" r:id="rId9" display="https://wayback.archive-it.org/12090/20221208085852/https:/ec.europa.eu/inea/en/ten-t/ten-t-projects/projects-by-priority-project/priority-project-18" xr:uid="{698C220A-8080-42B2-A4BE-5C19D2BF02E7}"/>
    <hyperlink ref="C13" r:id="rId10" display="https://wayback.archive-it.org/12090/20221208085852/https:/ec.europa.eu/inea/en/ten-t/ten-t-projects/projects-by-priority-project/priority-project-20" xr:uid="{AFA4D38E-F725-45F1-B86B-11F529635C0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0F76A-35E6-4467-9F62-5C771005FFFC}">
  <dimension ref="B1:K27"/>
  <sheetViews>
    <sheetView zoomScale="85" zoomScaleNormal="85" workbookViewId="0">
      <selection activeCell="D25" sqref="D25"/>
    </sheetView>
  </sheetViews>
  <sheetFormatPr defaultRowHeight="14.4" x14ac:dyDescent="0.3"/>
  <cols>
    <col min="1" max="1" width="3.44140625" customWidth="1"/>
    <col min="2" max="2" width="11.33203125" bestFit="1" customWidth="1"/>
    <col min="3" max="3" width="68" bestFit="1" customWidth="1"/>
    <col min="4" max="4" width="19.33203125" bestFit="1" customWidth="1"/>
    <col min="5" max="5" width="23.6640625" customWidth="1"/>
    <col min="6" max="6" width="20.5546875" customWidth="1"/>
    <col min="7" max="7" width="20.33203125" customWidth="1"/>
    <col min="8" max="8" width="16.5546875" customWidth="1"/>
    <col min="9" max="9" width="16.33203125" customWidth="1"/>
  </cols>
  <sheetData>
    <row r="1" spans="2:11" ht="15" thickBot="1" x14ac:dyDescent="0.35"/>
    <row r="2" spans="2:11" ht="15" thickBot="1" x14ac:dyDescent="0.35">
      <c r="C2" s="38" t="s">
        <v>0</v>
      </c>
      <c r="D2" s="39">
        <v>2</v>
      </c>
      <c r="E2" s="39">
        <v>7</v>
      </c>
      <c r="F2" s="39">
        <v>5</v>
      </c>
      <c r="G2" s="39">
        <v>3</v>
      </c>
      <c r="H2" s="39">
        <v>10</v>
      </c>
      <c r="I2" s="40">
        <v>1</v>
      </c>
      <c r="K2" t="s">
        <v>19</v>
      </c>
    </row>
    <row r="3" spans="2:11" ht="27.6" customHeight="1" x14ac:dyDescent="0.3">
      <c r="B3" s="5" t="s">
        <v>1</v>
      </c>
      <c r="C3" s="6" t="s">
        <v>2</v>
      </c>
      <c r="D3" s="7" t="s">
        <v>3</v>
      </c>
      <c r="E3" s="7" t="s">
        <v>4</v>
      </c>
      <c r="F3" s="7" t="s">
        <v>5</v>
      </c>
      <c r="G3" s="7" t="s">
        <v>6</v>
      </c>
      <c r="H3" s="12" t="s">
        <v>7</v>
      </c>
      <c r="I3" s="13" t="s">
        <v>8</v>
      </c>
    </row>
    <row r="4" spans="2:11" x14ac:dyDescent="0.3">
      <c r="B4" s="8">
        <v>1</v>
      </c>
      <c r="C4" s="3" t="s">
        <v>9</v>
      </c>
      <c r="D4" s="2">
        <v>4</v>
      </c>
      <c r="E4" s="2">
        <v>4</v>
      </c>
      <c r="F4" s="2">
        <v>1</v>
      </c>
      <c r="G4" s="2">
        <v>1</v>
      </c>
      <c r="H4" s="14">
        <v>5</v>
      </c>
      <c r="I4" s="15"/>
    </row>
    <row r="5" spans="2:11" x14ac:dyDescent="0.3">
      <c r="B5" s="8">
        <v>3</v>
      </c>
      <c r="C5" s="3" t="s">
        <v>10</v>
      </c>
      <c r="D5" s="2">
        <v>5</v>
      </c>
      <c r="E5" s="2">
        <v>2</v>
      </c>
      <c r="F5" s="2">
        <v>2</v>
      </c>
      <c r="G5" s="2">
        <v>3</v>
      </c>
      <c r="H5" s="14">
        <v>3</v>
      </c>
      <c r="I5" s="15"/>
    </row>
    <row r="6" spans="2:11" x14ac:dyDescent="0.3">
      <c r="B6" s="8">
        <v>9</v>
      </c>
      <c r="C6" s="4" t="s">
        <v>11</v>
      </c>
      <c r="D6" s="2">
        <v>3</v>
      </c>
      <c r="E6" s="2">
        <v>5</v>
      </c>
      <c r="F6" s="2">
        <v>1</v>
      </c>
      <c r="G6" s="2">
        <v>1</v>
      </c>
      <c r="H6" s="14">
        <v>4</v>
      </c>
      <c r="I6" s="15"/>
    </row>
    <row r="7" spans="2:11" x14ac:dyDescent="0.3">
      <c r="B7" s="8">
        <v>10</v>
      </c>
      <c r="C7" s="3" t="s">
        <v>12</v>
      </c>
      <c r="D7" s="2">
        <v>3</v>
      </c>
      <c r="E7" s="2">
        <v>3</v>
      </c>
      <c r="F7" s="2">
        <v>1</v>
      </c>
      <c r="G7" s="2">
        <v>2</v>
      </c>
      <c r="H7" s="14">
        <v>4</v>
      </c>
      <c r="I7" s="15"/>
    </row>
    <row r="8" spans="2:11" x14ac:dyDescent="0.3">
      <c r="B8" s="8">
        <v>11</v>
      </c>
      <c r="C8" s="3" t="s">
        <v>13</v>
      </c>
      <c r="D8" s="2">
        <v>4</v>
      </c>
      <c r="E8" s="2">
        <v>1</v>
      </c>
      <c r="F8" s="2">
        <v>2</v>
      </c>
      <c r="G8" s="2">
        <v>3</v>
      </c>
      <c r="H8" s="14">
        <v>3</v>
      </c>
      <c r="I8" s="15"/>
    </row>
    <row r="9" spans="2:11" x14ac:dyDescent="0.3">
      <c r="B9" s="8">
        <v>12</v>
      </c>
      <c r="C9" s="3" t="s">
        <v>14</v>
      </c>
      <c r="D9" s="2">
        <v>3</v>
      </c>
      <c r="E9" s="2">
        <v>1</v>
      </c>
      <c r="F9" s="2">
        <v>2</v>
      </c>
      <c r="G9" s="2">
        <v>3</v>
      </c>
      <c r="H9" s="14">
        <v>2</v>
      </c>
      <c r="I9" s="15"/>
    </row>
    <row r="10" spans="2:11" x14ac:dyDescent="0.3">
      <c r="B10" s="8">
        <v>13</v>
      </c>
      <c r="C10" s="3" t="s">
        <v>15</v>
      </c>
      <c r="D10" s="2">
        <v>4</v>
      </c>
      <c r="E10" s="2">
        <v>1</v>
      </c>
      <c r="F10" s="2">
        <v>4</v>
      </c>
      <c r="G10" s="2">
        <v>4</v>
      </c>
      <c r="H10" s="14">
        <v>1</v>
      </c>
      <c r="I10" s="15"/>
    </row>
    <row r="11" spans="2:11" x14ac:dyDescent="0.3">
      <c r="B11" s="8">
        <v>16</v>
      </c>
      <c r="C11" s="3" t="s">
        <v>16</v>
      </c>
      <c r="D11" s="2">
        <v>2</v>
      </c>
      <c r="E11" s="2">
        <v>1</v>
      </c>
      <c r="F11" s="2">
        <v>1</v>
      </c>
      <c r="G11" s="2">
        <v>2</v>
      </c>
      <c r="H11" s="14">
        <v>2</v>
      </c>
      <c r="I11" s="15"/>
    </row>
    <row r="12" spans="2:11" x14ac:dyDescent="0.3">
      <c r="B12" s="8">
        <v>18</v>
      </c>
      <c r="C12" s="3" t="s">
        <v>17</v>
      </c>
      <c r="D12" s="2">
        <v>4</v>
      </c>
      <c r="E12" s="2">
        <v>3</v>
      </c>
      <c r="F12" s="2">
        <v>2</v>
      </c>
      <c r="G12" s="2">
        <v>1</v>
      </c>
      <c r="H12" s="14">
        <v>5</v>
      </c>
      <c r="I12" s="15"/>
    </row>
    <row r="13" spans="2:11" ht="15" thickBot="1" x14ac:dyDescent="0.35">
      <c r="B13" s="9">
        <v>20</v>
      </c>
      <c r="C13" s="10" t="s">
        <v>18</v>
      </c>
      <c r="D13" s="11">
        <v>3</v>
      </c>
      <c r="E13" s="11">
        <v>1</v>
      </c>
      <c r="F13" s="11">
        <v>3</v>
      </c>
      <c r="G13" s="11">
        <v>2</v>
      </c>
      <c r="H13" s="16">
        <v>5</v>
      </c>
      <c r="I13" s="17"/>
    </row>
    <row r="16" spans="2:11" ht="129.6" x14ac:dyDescent="0.3">
      <c r="D16" s="1" t="s">
        <v>20</v>
      </c>
      <c r="E16" s="1" t="s">
        <v>21</v>
      </c>
      <c r="F16" s="1" t="s">
        <v>22</v>
      </c>
      <c r="G16" s="1" t="s">
        <v>23</v>
      </c>
      <c r="H16" s="1" t="s">
        <v>24</v>
      </c>
    </row>
    <row r="17" spans="2:6" x14ac:dyDescent="0.3">
      <c r="F17" t="s">
        <v>25</v>
      </c>
    </row>
    <row r="18" spans="2:6" x14ac:dyDescent="0.3">
      <c r="B18" s="42">
        <v>1</v>
      </c>
      <c r="F18" s="42">
        <v>5</v>
      </c>
    </row>
    <row r="19" spans="2:6" x14ac:dyDescent="0.3">
      <c r="B19" s="42">
        <v>3</v>
      </c>
      <c r="F19" s="42">
        <v>3</v>
      </c>
    </row>
    <row r="20" spans="2:6" x14ac:dyDescent="0.3">
      <c r="B20" s="42">
        <v>9</v>
      </c>
      <c r="F20" s="42">
        <v>4</v>
      </c>
    </row>
    <row r="21" spans="2:6" x14ac:dyDescent="0.3">
      <c r="B21" s="42">
        <v>10</v>
      </c>
      <c r="F21" s="42">
        <v>4</v>
      </c>
    </row>
    <row r="22" spans="2:6" x14ac:dyDescent="0.3">
      <c r="B22" s="42">
        <v>11</v>
      </c>
      <c r="F22" s="42">
        <v>3</v>
      </c>
    </row>
    <row r="23" spans="2:6" x14ac:dyDescent="0.3">
      <c r="B23" s="42">
        <v>12</v>
      </c>
      <c r="F23" s="42">
        <v>2</v>
      </c>
    </row>
    <row r="24" spans="2:6" x14ac:dyDescent="0.3">
      <c r="B24" s="42">
        <v>13</v>
      </c>
      <c r="F24" s="42">
        <v>1</v>
      </c>
    </row>
    <row r="25" spans="2:6" x14ac:dyDescent="0.3">
      <c r="B25" s="42">
        <v>16</v>
      </c>
      <c r="F25" s="42">
        <v>2</v>
      </c>
    </row>
    <row r="26" spans="2:6" x14ac:dyDescent="0.3">
      <c r="B26" s="42">
        <v>18</v>
      </c>
      <c r="F26" s="42">
        <v>5</v>
      </c>
    </row>
    <row r="27" spans="2:6" x14ac:dyDescent="0.3">
      <c r="B27" s="42">
        <v>20</v>
      </c>
      <c r="F27" s="42">
        <v>5</v>
      </c>
    </row>
  </sheetData>
  <hyperlinks>
    <hyperlink ref="C11" r:id="rId1" display="https://wayback.archive-it.org/12090/20221208085852/https:/ec.europa.eu/inea/en/ten-t/ten-t-projects/projects-by-priority-project/priority-project-16" xr:uid="{56B6F625-9B6A-47A3-BD44-EE548BB95D36}"/>
    <hyperlink ref="C10" r:id="rId2" display="https://wayback.archive-it.org/12090/20221208085852/https:/ec.europa.eu/inea/en/ten-t/ten-t-projects/projects-by-priority-project/priority-project-13" xr:uid="{38EFE4FB-3CBE-4C60-A82D-48380481677A}"/>
    <hyperlink ref="C9" r:id="rId3" display="https://wayback.archive-it.org/12090/20221208085852/https:/ec.europa.eu/inea/en/ten-t/ten-t-projects/projects-by-priority-project/priority-project-12" xr:uid="{86C0C62E-3DD1-4B72-96A1-B1574A08DF8A}"/>
    <hyperlink ref="C8" r:id="rId4" display="https://wayback.archive-it.org/12090/20221208085852/https:/ec.europa.eu/inea/en/ten-t/ten-t-projects/projects-by-priority-project/priority-project-11" xr:uid="{CDD63980-F28F-4E2F-924A-C7D8110BB083}"/>
    <hyperlink ref="C7" r:id="rId5" display="https://wayback.archive-it.org/12090/20221208085852/https:/ec.europa.eu/inea/en/ten-t/ten-t-projects/projects-by-priority-project/priority-project-10" xr:uid="{8E7223BC-849F-4266-8EF3-E3708EEBF3B4}"/>
    <hyperlink ref="C6" r:id="rId6" display="https://wayback.archive-it.org/12090/20221208085852/https:/ec.europa.eu/inea/en/ten-t/ten-t-projects/projects-by-priority-project/priority-project-9" xr:uid="{C1B0AD51-99AC-4ED5-9FB0-A9BFD84945A0}"/>
    <hyperlink ref="C5" r:id="rId7" display="https://wayback.archive-it.org/12090/20221208085852/https:/ec.europa.eu/inea/en/ten-t/ten-t-projects/projects-by-priority-project/priority-project-3" xr:uid="{8F6C4E74-EAB7-4F04-84FE-4411C403ABF2}"/>
    <hyperlink ref="C4" r:id="rId8" display="https://wayback.archive-it.org/12090/20221208085852/https:/ec.europa.eu/inea/en/ten-t/ten-t-projects/projects-by-priority-project/priority-project-1" xr:uid="{79ED65D3-DC3B-4A0B-8D88-EBC489084B4A}"/>
    <hyperlink ref="C12" r:id="rId9" display="https://wayback.archive-it.org/12090/20221208085852/https:/ec.europa.eu/inea/en/ten-t/ten-t-projects/projects-by-priority-project/priority-project-18" xr:uid="{5FBFB67F-B2DD-40FC-9590-C8C2438EDFA3}"/>
    <hyperlink ref="C13" r:id="rId10" display="https://wayback.archive-it.org/12090/20221208085852/https:/ec.europa.eu/inea/en/ten-t/ten-t-projects/projects-by-priority-project/priority-project-20" xr:uid="{0F0DE255-1D4F-456F-A20A-BD52CA278FA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946C0-69DB-4F70-86FB-65F25C854B2E}">
  <dimension ref="B1:I13"/>
  <sheetViews>
    <sheetView zoomScale="85" zoomScaleNormal="85" workbookViewId="0">
      <selection activeCell="D25" sqref="D25"/>
    </sheetView>
  </sheetViews>
  <sheetFormatPr defaultRowHeight="14.4" x14ac:dyDescent="0.3"/>
  <cols>
    <col min="1" max="1" width="3.44140625" customWidth="1"/>
    <col min="2" max="2" width="11.33203125" bestFit="1" customWidth="1"/>
    <col min="3" max="3" width="68" bestFit="1" customWidth="1"/>
    <col min="4" max="4" width="19.33203125" bestFit="1" customWidth="1"/>
    <col min="5" max="5" width="23.6640625" customWidth="1"/>
    <col min="6" max="6" width="20.5546875" customWidth="1"/>
    <col min="7" max="7" width="20.33203125" customWidth="1"/>
    <col min="8" max="8" width="16.5546875" customWidth="1"/>
    <col min="9" max="9" width="16.33203125" customWidth="1"/>
  </cols>
  <sheetData>
    <row r="1" spans="2:9" ht="15" thickBot="1" x14ac:dyDescent="0.35"/>
    <row r="2" spans="2:9" ht="15" thickBot="1" x14ac:dyDescent="0.35">
      <c r="C2" s="38" t="s">
        <v>0</v>
      </c>
      <c r="D2" s="39"/>
      <c r="E2" s="39"/>
      <c r="F2" s="39"/>
      <c r="G2" s="39"/>
      <c r="H2" s="39"/>
      <c r="I2" s="40"/>
    </row>
    <row r="3" spans="2:9" ht="27.6" customHeight="1" x14ac:dyDescent="0.3">
      <c r="B3" s="5" t="s">
        <v>1</v>
      </c>
      <c r="C3" s="6" t="s">
        <v>2</v>
      </c>
      <c r="D3" s="7" t="s">
        <v>3</v>
      </c>
      <c r="E3" s="7" t="s">
        <v>4</v>
      </c>
      <c r="F3" s="7" t="s">
        <v>5</v>
      </c>
      <c r="G3" s="7" t="s">
        <v>6</v>
      </c>
      <c r="H3" s="12" t="s">
        <v>7</v>
      </c>
      <c r="I3" s="13" t="s">
        <v>8</v>
      </c>
    </row>
    <row r="4" spans="2:9" x14ac:dyDescent="0.3">
      <c r="B4" s="8">
        <v>1</v>
      </c>
      <c r="C4" s="3" t="s">
        <v>9</v>
      </c>
      <c r="D4" s="2"/>
      <c r="E4" s="2"/>
      <c r="F4" s="2"/>
      <c r="G4" s="2"/>
      <c r="H4" s="14"/>
      <c r="I4" s="15"/>
    </row>
    <row r="5" spans="2:9" x14ac:dyDescent="0.3">
      <c r="B5" s="8">
        <v>3</v>
      </c>
      <c r="C5" s="3" t="s">
        <v>10</v>
      </c>
      <c r="D5" s="2"/>
      <c r="E5" s="2"/>
      <c r="F5" s="2"/>
      <c r="G5" s="2"/>
      <c r="H5" s="14"/>
      <c r="I5" s="15"/>
    </row>
    <row r="6" spans="2:9" x14ac:dyDescent="0.3">
      <c r="B6" s="8">
        <v>9</v>
      </c>
      <c r="C6" s="4" t="s">
        <v>11</v>
      </c>
      <c r="D6" s="2"/>
      <c r="E6" s="2"/>
      <c r="F6" s="2"/>
      <c r="G6" s="2"/>
      <c r="H6" s="14"/>
      <c r="I6" s="15"/>
    </row>
    <row r="7" spans="2:9" x14ac:dyDescent="0.3">
      <c r="B7" s="8">
        <v>10</v>
      </c>
      <c r="C7" s="3" t="s">
        <v>12</v>
      </c>
      <c r="D7" s="2"/>
      <c r="E7" s="2"/>
      <c r="F7" s="2"/>
      <c r="G7" s="2"/>
      <c r="H7" s="14"/>
      <c r="I7" s="15"/>
    </row>
    <row r="8" spans="2:9" x14ac:dyDescent="0.3">
      <c r="B8" s="8">
        <v>11</v>
      </c>
      <c r="C8" s="3" t="s">
        <v>13</v>
      </c>
      <c r="D8" s="2"/>
      <c r="E8" s="2"/>
      <c r="F8" s="2"/>
      <c r="G8" s="2"/>
      <c r="H8" s="14"/>
      <c r="I8" s="15"/>
    </row>
    <row r="9" spans="2:9" x14ac:dyDescent="0.3">
      <c r="B9" s="8">
        <v>12</v>
      </c>
      <c r="C9" s="3" t="s">
        <v>14</v>
      </c>
      <c r="D9" s="2"/>
      <c r="E9" s="2"/>
      <c r="F9" s="2"/>
      <c r="G9" s="2"/>
      <c r="H9" s="14"/>
      <c r="I9" s="15"/>
    </row>
    <row r="10" spans="2:9" x14ac:dyDescent="0.3">
      <c r="B10" s="8">
        <v>13</v>
      </c>
      <c r="C10" s="3" t="s">
        <v>15</v>
      </c>
      <c r="D10" s="2"/>
      <c r="E10" s="2"/>
      <c r="F10" s="2"/>
      <c r="G10" s="2"/>
      <c r="H10" s="14"/>
      <c r="I10" s="15"/>
    </row>
    <row r="11" spans="2:9" x14ac:dyDescent="0.3">
      <c r="B11" s="8">
        <v>16</v>
      </c>
      <c r="C11" s="3" t="s">
        <v>16</v>
      </c>
      <c r="D11" s="2"/>
      <c r="E11" s="2"/>
      <c r="F11" s="2"/>
      <c r="G11" s="2"/>
      <c r="H11" s="14"/>
      <c r="I11" s="15"/>
    </row>
    <row r="12" spans="2:9" x14ac:dyDescent="0.3">
      <c r="B12" s="8">
        <v>18</v>
      </c>
      <c r="C12" s="3" t="s">
        <v>17</v>
      </c>
      <c r="D12" s="2"/>
      <c r="E12" s="2"/>
      <c r="F12" s="2"/>
      <c r="G12" s="2"/>
      <c r="H12" s="14"/>
      <c r="I12" s="15"/>
    </row>
    <row r="13" spans="2:9" ht="15" thickBot="1" x14ac:dyDescent="0.35">
      <c r="B13" s="9">
        <v>20</v>
      </c>
      <c r="C13" s="10" t="s">
        <v>18</v>
      </c>
      <c r="D13" s="11"/>
      <c r="E13" s="11"/>
      <c r="F13" s="11"/>
      <c r="G13" s="11"/>
      <c r="H13" s="16"/>
      <c r="I13" s="17"/>
    </row>
  </sheetData>
  <hyperlinks>
    <hyperlink ref="C11" r:id="rId1" display="https://wayback.archive-it.org/12090/20221208085852/https:/ec.europa.eu/inea/en/ten-t/ten-t-projects/projects-by-priority-project/priority-project-16" xr:uid="{DB064D57-38CD-4F22-8DA5-513703233FBC}"/>
    <hyperlink ref="C10" r:id="rId2" display="https://wayback.archive-it.org/12090/20221208085852/https:/ec.europa.eu/inea/en/ten-t/ten-t-projects/projects-by-priority-project/priority-project-13" xr:uid="{11E3A520-CFAB-4A22-AE20-986C10D973CF}"/>
    <hyperlink ref="C9" r:id="rId3" display="https://wayback.archive-it.org/12090/20221208085852/https:/ec.europa.eu/inea/en/ten-t/ten-t-projects/projects-by-priority-project/priority-project-12" xr:uid="{0E41BCFA-7388-4B55-B127-723D14C264F3}"/>
    <hyperlink ref="C8" r:id="rId4" display="https://wayback.archive-it.org/12090/20221208085852/https:/ec.europa.eu/inea/en/ten-t/ten-t-projects/projects-by-priority-project/priority-project-11" xr:uid="{A866470F-D531-45AE-8DBF-4CA563A3CA1B}"/>
    <hyperlink ref="C7" r:id="rId5" display="https://wayback.archive-it.org/12090/20221208085852/https:/ec.europa.eu/inea/en/ten-t/ten-t-projects/projects-by-priority-project/priority-project-10" xr:uid="{6768BA97-2680-43D1-9896-5E7F7EDE1EA8}"/>
    <hyperlink ref="C6" r:id="rId6" display="https://wayback.archive-it.org/12090/20221208085852/https:/ec.europa.eu/inea/en/ten-t/ten-t-projects/projects-by-priority-project/priority-project-9" xr:uid="{768EE554-4805-4D2B-892C-94D2D31D2603}"/>
    <hyperlink ref="C5" r:id="rId7" display="https://wayback.archive-it.org/12090/20221208085852/https:/ec.europa.eu/inea/en/ten-t/ten-t-projects/projects-by-priority-project/priority-project-3" xr:uid="{097B68DC-94FE-4CCD-B010-D3E8A43DF421}"/>
    <hyperlink ref="C4" r:id="rId8" display="https://wayback.archive-it.org/12090/20221208085852/https:/ec.europa.eu/inea/en/ten-t/ten-t-projects/projects-by-priority-project/priority-project-1" xr:uid="{85B20F93-D29E-4F7D-9571-39E050638E1E}"/>
    <hyperlink ref="C12" r:id="rId9" display="https://wayback.archive-it.org/12090/20221208085852/https:/ec.europa.eu/inea/en/ten-t/ten-t-projects/projects-by-priority-project/priority-project-18" xr:uid="{33854264-083C-4D35-B632-B25FA91C0707}"/>
    <hyperlink ref="C13" r:id="rId10" display="https://wayback.archive-it.org/12090/20221208085852/https:/ec.europa.eu/inea/en/ten-t/ten-t-projects/projects-by-priority-project/priority-project-20" xr:uid="{06BFFCA5-5971-42B5-A220-4E66D825866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F47B3-D6D1-4853-81C2-097A2DE9344C}">
  <dimension ref="B1:I13"/>
  <sheetViews>
    <sheetView zoomScale="85" zoomScaleNormal="85" workbookViewId="0">
      <selection activeCell="D25" sqref="D25"/>
    </sheetView>
  </sheetViews>
  <sheetFormatPr defaultRowHeight="14.4" x14ac:dyDescent="0.3"/>
  <cols>
    <col min="1" max="1" width="3.44140625" customWidth="1"/>
    <col min="2" max="2" width="11.33203125" bestFit="1" customWidth="1"/>
    <col min="3" max="3" width="68" bestFit="1" customWidth="1"/>
    <col min="4" max="4" width="19.33203125" bestFit="1" customWidth="1"/>
    <col min="5" max="5" width="23.6640625" customWidth="1"/>
    <col min="6" max="6" width="20.5546875" customWidth="1"/>
    <col min="7" max="7" width="20.33203125" customWidth="1"/>
    <col min="8" max="8" width="16.5546875" customWidth="1"/>
    <col min="9" max="9" width="16.33203125" customWidth="1"/>
  </cols>
  <sheetData>
    <row r="1" spans="2:9" ht="15" thickBot="1" x14ac:dyDescent="0.35"/>
    <row r="2" spans="2:9" ht="15" thickBot="1" x14ac:dyDescent="0.35">
      <c r="C2" s="38" t="s">
        <v>0</v>
      </c>
      <c r="D2" s="39">
        <v>8</v>
      </c>
      <c r="E2" s="39">
        <v>10</v>
      </c>
      <c r="F2" s="39">
        <v>7</v>
      </c>
      <c r="G2" s="39">
        <v>5</v>
      </c>
      <c r="H2" s="39">
        <v>8</v>
      </c>
      <c r="I2" s="40">
        <v>4</v>
      </c>
    </row>
    <row r="3" spans="2:9" ht="27.6" customHeight="1" x14ac:dyDescent="0.3">
      <c r="B3" s="5" t="s">
        <v>1</v>
      </c>
      <c r="C3" s="6" t="s">
        <v>2</v>
      </c>
      <c r="D3" s="7" t="s">
        <v>3</v>
      </c>
      <c r="E3" s="7" t="s">
        <v>4</v>
      </c>
      <c r="F3" s="7" t="s">
        <v>5</v>
      </c>
      <c r="G3" s="7" t="s">
        <v>6</v>
      </c>
      <c r="H3" s="12" t="s">
        <v>7</v>
      </c>
      <c r="I3" s="13" t="s">
        <v>8</v>
      </c>
    </row>
    <row r="4" spans="2:9" x14ac:dyDescent="0.3">
      <c r="B4" s="8">
        <v>1</v>
      </c>
      <c r="C4" s="3" t="s">
        <v>9</v>
      </c>
      <c r="D4" s="2">
        <v>4</v>
      </c>
      <c r="E4" s="2">
        <v>5</v>
      </c>
      <c r="F4" s="2">
        <v>2</v>
      </c>
      <c r="G4" s="2">
        <v>2</v>
      </c>
      <c r="H4" s="14">
        <v>5</v>
      </c>
      <c r="I4" s="15">
        <v>4</v>
      </c>
    </row>
    <row r="5" spans="2:9" x14ac:dyDescent="0.3">
      <c r="B5" s="8">
        <v>3</v>
      </c>
      <c r="C5" s="3" t="s">
        <v>10</v>
      </c>
      <c r="D5" s="2">
        <v>3</v>
      </c>
      <c r="E5" s="2">
        <v>4</v>
      </c>
      <c r="F5" s="2">
        <v>4</v>
      </c>
      <c r="G5" s="2">
        <v>3</v>
      </c>
      <c r="H5" s="14">
        <v>4</v>
      </c>
      <c r="I5" s="15">
        <v>3</v>
      </c>
    </row>
    <row r="6" spans="2:9" x14ac:dyDescent="0.3">
      <c r="B6" s="8">
        <v>9</v>
      </c>
      <c r="C6" s="4" t="s">
        <v>11</v>
      </c>
      <c r="D6" s="2">
        <v>3</v>
      </c>
      <c r="E6" s="2">
        <v>5</v>
      </c>
      <c r="F6" s="2">
        <v>1</v>
      </c>
      <c r="G6" s="2">
        <v>3</v>
      </c>
      <c r="H6" s="14">
        <v>4</v>
      </c>
      <c r="I6" s="15">
        <v>3</v>
      </c>
    </row>
    <row r="7" spans="2:9" x14ac:dyDescent="0.3">
      <c r="B7" s="8">
        <v>10</v>
      </c>
      <c r="C7" s="3" t="s">
        <v>12</v>
      </c>
      <c r="D7" s="2">
        <v>3</v>
      </c>
      <c r="E7" s="2">
        <v>4</v>
      </c>
      <c r="F7" s="2">
        <v>3</v>
      </c>
      <c r="G7" s="2">
        <v>3</v>
      </c>
      <c r="H7" s="14">
        <v>4</v>
      </c>
      <c r="I7" s="15">
        <v>3</v>
      </c>
    </row>
    <row r="8" spans="2:9" x14ac:dyDescent="0.3">
      <c r="B8" s="8">
        <v>11</v>
      </c>
      <c r="C8" s="3" t="s">
        <v>13</v>
      </c>
      <c r="D8" s="2">
        <v>3</v>
      </c>
      <c r="E8" s="2">
        <v>3</v>
      </c>
      <c r="F8" s="2">
        <v>4</v>
      </c>
      <c r="G8" s="2">
        <v>4</v>
      </c>
      <c r="H8" s="14">
        <v>3</v>
      </c>
      <c r="I8" s="15">
        <v>3</v>
      </c>
    </row>
    <row r="9" spans="2:9" x14ac:dyDescent="0.3">
      <c r="B9" s="8">
        <v>12</v>
      </c>
      <c r="C9" s="3" t="s">
        <v>14</v>
      </c>
      <c r="D9" s="2">
        <v>3</v>
      </c>
      <c r="E9" s="2">
        <v>4</v>
      </c>
      <c r="F9" s="2">
        <v>5</v>
      </c>
      <c r="G9" s="2">
        <v>3</v>
      </c>
      <c r="H9" s="14">
        <v>4</v>
      </c>
      <c r="I9" s="15">
        <v>4</v>
      </c>
    </row>
    <row r="10" spans="2:9" x14ac:dyDescent="0.3">
      <c r="B10" s="8">
        <v>13</v>
      </c>
      <c r="C10" s="3" t="s">
        <v>15</v>
      </c>
      <c r="D10" s="2">
        <v>4</v>
      </c>
      <c r="E10" s="2">
        <v>2</v>
      </c>
      <c r="F10" s="2">
        <v>5</v>
      </c>
      <c r="G10" s="2">
        <v>5</v>
      </c>
      <c r="H10" s="14">
        <v>3</v>
      </c>
      <c r="I10" s="15">
        <v>3</v>
      </c>
    </row>
    <row r="11" spans="2:9" x14ac:dyDescent="0.3">
      <c r="B11" s="8">
        <v>16</v>
      </c>
      <c r="C11" s="3" t="s">
        <v>16</v>
      </c>
      <c r="D11" s="2">
        <v>4</v>
      </c>
      <c r="E11" s="2">
        <v>2</v>
      </c>
      <c r="F11" s="2">
        <v>4</v>
      </c>
      <c r="G11" s="2">
        <v>2</v>
      </c>
      <c r="H11" s="14">
        <v>4</v>
      </c>
      <c r="I11" s="15">
        <v>4</v>
      </c>
    </row>
    <row r="12" spans="2:9" x14ac:dyDescent="0.3">
      <c r="B12" s="8">
        <v>18</v>
      </c>
      <c r="C12" s="3" t="s">
        <v>17</v>
      </c>
      <c r="D12" s="2">
        <v>4</v>
      </c>
      <c r="E12" s="2">
        <v>5</v>
      </c>
      <c r="F12" s="2">
        <v>3</v>
      </c>
      <c r="G12" s="2">
        <v>3</v>
      </c>
      <c r="H12" s="14">
        <v>5</v>
      </c>
      <c r="I12" s="15">
        <v>4</v>
      </c>
    </row>
    <row r="13" spans="2:9" ht="15" thickBot="1" x14ac:dyDescent="0.35">
      <c r="B13" s="9">
        <v>20</v>
      </c>
      <c r="C13" s="10" t="s">
        <v>18</v>
      </c>
      <c r="D13" s="11">
        <v>3</v>
      </c>
      <c r="E13" s="11">
        <v>3</v>
      </c>
      <c r="F13" s="11">
        <v>5</v>
      </c>
      <c r="G13" s="11">
        <v>4</v>
      </c>
      <c r="H13" s="16">
        <v>4</v>
      </c>
      <c r="I13" s="17">
        <v>3</v>
      </c>
    </row>
  </sheetData>
  <hyperlinks>
    <hyperlink ref="C11" r:id="rId1" display="https://wayback.archive-it.org/12090/20221208085852/https:/ec.europa.eu/inea/en/ten-t/ten-t-projects/projects-by-priority-project/priority-project-16" xr:uid="{ADC28439-4A78-4156-9AC4-BD667BD71C0E}"/>
    <hyperlink ref="C10" r:id="rId2" display="https://wayback.archive-it.org/12090/20221208085852/https:/ec.europa.eu/inea/en/ten-t/ten-t-projects/projects-by-priority-project/priority-project-13" xr:uid="{9BF75F3A-959B-4417-A249-9C02E7C369B9}"/>
    <hyperlink ref="C9" r:id="rId3" display="https://wayback.archive-it.org/12090/20221208085852/https:/ec.europa.eu/inea/en/ten-t/ten-t-projects/projects-by-priority-project/priority-project-12" xr:uid="{6197A224-45BB-42B6-9966-79A18175C769}"/>
    <hyperlink ref="C8" r:id="rId4" display="https://wayback.archive-it.org/12090/20221208085852/https:/ec.europa.eu/inea/en/ten-t/ten-t-projects/projects-by-priority-project/priority-project-11" xr:uid="{64C649DF-500A-44ED-BA13-E135C8E647F1}"/>
    <hyperlink ref="C7" r:id="rId5" display="https://wayback.archive-it.org/12090/20221208085852/https:/ec.europa.eu/inea/en/ten-t/ten-t-projects/projects-by-priority-project/priority-project-10" xr:uid="{4F621EE2-FDA5-4942-9EF4-D23C4039EF07}"/>
    <hyperlink ref="C6" r:id="rId6" display="https://wayback.archive-it.org/12090/20221208085852/https:/ec.europa.eu/inea/en/ten-t/ten-t-projects/projects-by-priority-project/priority-project-9" xr:uid="{71F7B4CC-AAEC-4856-98DC-274BE6E41188}"/>
    <hyperlink ref="C5" r:id="rId7" display="https://wayback.archive-it.org/12090/20221208085852/https:/ec.europa.eu/inea/en/ten-t/ten-t-projects/projects-by-priority-project/priority-project-3" xr:uid="{208B1E40-26FF-4F60-A652-794A52EAD152}"/>
    <hyperlink ref="C4" r:id="rId8" display="https://wayback.archive-it.org/12090/20221208085852/https:/ec.europa.eu/inea/en/ten-t/ten-t-projects/projects-by-priority-project/priority-project-1" xr:uid="{026C8EFD-1393-4445-9117-775C7AE892C9}"/>
    <hyperlink ref="C12" r:id="rId9" display="https://wayback.archive-it.org/12090/20221208085852/https:/ec.europa.eu/inea/en/ten-t/ten-t-projects/projects-by-priority-project/priority-project-18" xr:uid="{D39B526C-ABE9-48EF-B5F2-9A34B1AF524E}"/>
    <hyperlink ref="C13" r:id="rId10" display="https://wayback.archive-it.org/12090/20221208085852/https:/ec.europa.eu/inea/en/ten-t/ten-t-projects/projects-by-priority-project/priority-project-20" xr:uid="{49B9B424-38C6-4A80-A874-B8E42312EEA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4BE9-8891-47D5-A7A6-1282E78205E8}">
  <dimension ref="B1:K26"/>
  <sheetViews>
    <sheetView zoomScale="85" zoomScaleNormal="85" workbookViewId="0">
      <selection activeCell="P8" sqref="P8"/>
    </sheetView>
  </sheetViews>
  <sheetFormatPr defaultRowHeight="14.4" x14ac:dyDescent="0.3"/>
  <cols>
    <col min="1" max="1" width="3.6640625" customWidth="1"/>
    <col min="2" max="2" width="18.33203125" bestFit="1" customWidth="1"/>
    <col min="3" max="3" width="3.44140625" customWidth="1"/>
    <col min="4" max="4" width="11.33203125" bestFit="1" customWidth="1"/>
    <col min="5" max="5" width="8.88671875" customWidth="1"/>
    <col min="6" max="6" width="19.33203125" bestFit="1" customWidth="1"/>
    <col min="7" max="7" width="23.6640625" customWidth="1"/>
    <col min="8" max="8" width="20.5546875" customWidth="1"/>
    <col min="9" max="9" width="20.33203125" customWidth="1"/>
    <col min="10" max="10" width="16.5546875" customWidth="1"/>
    <col min="11" max="11" width="16.33203125" customWidth="1"/>
  </cols>
  <sheetData>
    <row r="1" spans="2:11" ht="15" thickBot="1" x14ac:dyDescent="0.35"/>
    <row r="2" spans="2:11" ht="15" thickBot="1" x14ac:dyDescent="0.35">
      <c r="E2" s="38" t="s">
        <v>0</v>
      </c>
      <c r="F2" s="39">
        <v>4</v>
      </c>
      <c r="G2" s="39">
        <v>8</v>
      </c>
      <c r="H2" s="39">
        <v>6</v>
      </c>
      <c r="I2" s="39">
        <v>4</v>
      </c>
      <c r="J2" s="39">
        <v>9</v>
      </c>
      <c r="K2" s="40">
        <v>2</v>
      </c>
    </row>
    <row r="3" spans="2:11" ht="27.6" customHeight="1" x14ac:dyDescent="0.3">
      <c r="B3" t="s">
        <v>26</v>
      </c>
      <c r="D3" s="5" t="s">
        <v>1</v>
      </c>
      <c r="E3" s="6"/>
      <c r="F3" s="7" t="s">
        <v>3</v>
      </c>
      <c r="G3" s="7" t="s">
        <v>4</v>
      </c>
      <c r="H3" s="7" t="s">
        <v>5</v>
      </c>
      <c r="I3" s="7" t="s">
        <v>6</v>
      </c>
      <c r="J3" s="12" t="s">
        <v>7</v>
      </c>
      <c r="K3" s="13" t="s">
        <v>8</v>
      </c>
    </row>
    <row r="4" spans="2:11" x14ac:dyDescent="0.3">
      <c r="D4" s="8">
        <v>1</v>
      </c>
      <c r="E4" s="3"/>
      <c r="F4" s="2">
        <f>AVERAGE('ELECTRE - Alif'!D4,'ELECTRE - Levente'!D4,'ELECTRE - Joao'!D4,'ELECTRE - Dante'!D4)</f>
        <v>4</v>
      </c>
      <c r="G4" s="2">
        <v>4</v>
      </c>
      <c r="H4" s="2">
        <v>2</v>
      </c>
      <c r="I4" s="2">
        <v>1</v>
      </c>
      <c r="J4" s="2">
        <f>AVERAGE('ELECTRE - Alif'!H4,'ELECTRE - Levente'!H4,'ELECTRE - Joao'!H4,'ELECTRE - Dante'!H4)</f>
        <v>5</v>
      </c>
      <c r="K4" s="36">
        <f>AVERAGE('ELECTRE - Alif'!I4,'ELECTRE - Levente'!I4,'ELECTRE - Joao'!I4,'ELECTRE - Dante'!I4)</f>
        <v>4</v>
      </c>
    </row>
    <row r="5" spans="2:11" x14ac:dyDescent="0.3">
      <c r="D5" s="8">
        <v>3</v>
      </c>
      <c r="E5" s="3"/>
      <c r="F5" s="2">
        <f>AVERAGE('ELECTRE - Alif'!D5,'ELECTRE - Levente'!D5,'ELECTRE - Joao'!D5,'ELECTRE - Dante'!D5)</f>
        <v>4</v>
      </c>
      <c r="G5" s="2">
        <f>AVERAGE('ELECTRE - Alif'!E5,'ELECTRE - Levente'!E5,'ELECTRE - Joao'!E5,'ELECTRE - Dante'!E5)</f>
        <v>3</v>
      </c>
      <c r="H5" s="2">
        <v>4</v>
      </c>
      <c r="I5" s="2">
        <f>AVERAGE('ELECTRE - Alif'!G5,'ELECTRE - Levente'!G5,'ELECTRE - Joao'!G5,'ELECTRE - Dante'!G5)</f>
        <v>3</v>
      </c>
      <c r="J5" s="2">
        <v>3</v>
      </c>
      <c r="K5" s="36">
        <f>AVERAGE('ELECTRE - Alif'!I5,'ELECTRE - Levente'!I5,'ELECTRE - Joao'!I5,'ELECTRE - Dante'!I5)</f>
        <v>3</v>
      </c>
    </row>
    <row r="6" spans="2:11" x14ac:dyDescent="0.3">
      <c r="D6" s="8">
        <v>9</v>
      </c>
      <c r="E6" s="4"/>
      <c r="F6" s="2">
        <f>AVERAGE('ELECTRE - Alif'!D6,'ELECTRE - Levente'!D6,'ELECTRE - Joao'!D6,'ELECTRE - Dante'!D6)</f>
        <v>3</v>
      </c>
      <c r="G6" s="2">
        <f>AVERAGE('ELECTRE - Alif'!E6,'ELECTRE - Levente'!E6,'ELECTRE - Joao'!E6,'ELECTRE - Dante'!E6)</f>
        <v>5</v>
      </c>
      <c r="H6" s="2">
        <v>1</v>
      </c>
      <c r="I6" s="2">
        <f>AVERAGE('ELECTRE - Alif'!G6,'ELECTRE - Levente'!G6,'ELECTRE - Joao'!G6,'ELECTRE - Dante'!G6)</f>
        <v>2</v>
      </c>
      <c r="J6" s="2">
        <f>AVERAGE('ELECTRE - Alif'!H6,'ELECTRE - Levente'!H6,'ELECTRE - Joao'!H6,'ELECTRE - Dante'!H6)</f>
        <v>4</v>
      </c>
      <c r="K6" s="36">
        <f>AVERAGE('ELECTRE - Alif'!I6,'ELECTRE - Levente'!I6,'ELECTRE - Joao'!I6,'ELECTRE - Dante'!I6)</f>
        <v>3</v>
      </c>
    </row>
    <row r="7" spans="2:11" x14ac:dyDescent="0.3">
      <c r="D7" s="8">
        <v>10</v>
      </c>
      <c r="E7" s="3"/>
      <c r="F7" s="2">
        <f>AVERAGE('ELECTRE - Alif'!D7,'ELECTRE - Levente'!D7,'ELECTRE - Joao'!D7,'ELECTRE - Dante'!D7)</f>
        <v>3</v>
      </c>
      <c r="G7" s="2">
        <v>4</v>
      </c>
      <c r="H7" s="2">
        <v>3</v>
      </c>
      <c r="I7" s="2">
        <v>3</v>
      </c>
      <c r="J7" s="2">
        <f>AVERAGE('ELECTRE - Alif'!H7,'ELECTRE - Levente'!H7,'ELECTRE - Joao'!H7,'ELECTRE - Dante'!H7)</f>
        <v>4</v>
      </c>
      <c r="K7" s="36">
        <f>AVERAGE('ELECTRE - Alif'!I7,'ELECTRE - Levente'!I7,'ELECTRE - Joao'!I7,'ELECTRE - Dante'!I7)</f>
        <v>3</v>
      </c>
    </row>
    <row r="8" spans="2:11" x14ac:dyDescent="0.3">
      <c r="D8" s="8">
        <v>11</v>
      </c>
      <c r="E8" s="3"/>
      <c r="F8" s="2">
        <v>3</v>
      </c>
      <c r="G8" s="2">
        <v>1</v>
      </c>
      <c r="H8" s="2">
        <v>4</v>
      </c>
      <c r="I8" s="2">
        <v>4</v>
      </c>
      <c r="J8" s="2">
        <f>AVERAGE('ELECTRE - Alif'!H8,'ELECTRE - Levente'!H8,'ELECTRE - Joao'!H8,'ELECTRE - Dante'!H8)</f>
        <v>3</v>
      </c>
      <c r="K8" s="36">
        <f>AVERAGE('ELECTRE - Alif'!I8,'ELECTRE - Levente'!I8,'ELECTRE - Joao'!I8,'ELECTRE - Dante'!I8)</f>
        <v>3</v>
      </c>
    </row>
    <row r="9" spans="2:11" x14ac:dyDescent="0.3">
      <c r="D9" s="8">
        <v>12</v>
      </c>
      <c r="E9" s="3"/>
      <c r="F9" s="2">
        <f>AVERAGE('ELECTRE - Alif'!D9,'ELECTRE - Levente'!D9,'ELECTRE - Joao'!D9,'ELECTRE - Dante'!D9)</f>
        <v>3</v>
      </c>
      <c r="G9" s="2">
        <v>2</v>
      </c>
      <c r="H9" s="2">
        <v>5</v>
      </c>
      <c r="I9" s="2">
        <f>AVERAGE('ELECTRE - Alif'!G9,'ELECTRE - Levente'!G9,'ELECTRE - Joao'!G9,'ELECTRE - Dante'!G9)</f>
        <v>3</v>
      </c>
      <c r="J9" s="2">
        <f>AVERAGE('ELECTRE - Alif'!H9,'ELECTRE - Levente'!H9,'ELECTRE - Joao'!H9,'ELECTRE - Dante'!H9)</f>
        <v>3</v>
      </c>
      <c r="K9" s="36">
        <f>AVERAGE('ELECTRE - Alif'!I9,'ELECTRE - Levente'!I9,'ELECTRE - Joao'!I9,'ELECTRE - Dante'!I9)</f>
        <v>4</v>
      </c>
    </row>
    <row r="10" spans="2:11" x14ac:dyDescent="0.3">
      <c r="D10" s="8">
        <v>13</v>
      </c>
      <c r="E10" s="3"/>
      <c r="F10" s="2">
        <f>AVERAGE('ELECTRE - Alif'!D10,'ELECTRE - Levente'!D10,'ELECTRE - Joao'!D10,'ELECTRE - Dante'!D10)</f>
        <v>4</v>
      </c>
      <c r="G10" s="2">
        <v>1</v>
      </c>
      <c r="H10" s="2">
        <v>5</v>
      </c>
      <c r="I10" s="2">
        <v>5</v>
      </c>
      <c r="J10" s="2">
        <f>AVERAGE('ELECTRE - Alif'!H10,'ELECTRE - Levente'!H10,'ELECTRE - Joao'!H10,'ELECTRE - Dante'!H10)</f>
        <v>2</v>
      </c>
      <c r="K10" s="36">
        <f>AVERAGE('ELECTRE - Alif'!I10,'ELECTRE - Levente'!I10,'ELECTRE - Joao'!I10,'ELECTRE - Dante'!I10)</f>
        <v>3</v>
      </c>
    </row>
    <row r="11" spans="2:11" x14ac:dyDescent="0.3">
      <c r="D11" s="8">
        <v>16</v>
      </c>
      <c r="E11" s="3"/>
      <c r="F11" s="2">
        <f>AVERAGE('ELECTRE - Alif'!D11,'ELECTRE - Levente'!D11,'ELECTRE - Joao'!D11,'ELECTRE - Dante'!D11)</f>
        <v>3</v>
      </c>
      <c r="G11" s="2">
        <v>2</v>
      </c>
      <c r="H11" s="2">
        <v>4</v>
      </c>
      <c r="I11" s="2">
        <f>AVERAGE('ELECTRE - Alif'!G11,'ELECTRE - Levente'!G11,'ELECTRE - Joao'!G11,'ELECTRE - Dante'!G11)</f>
        <v>2</v>
      </c>
      <c r="J11" s="2">
        <f>AVERAGE('ELECTRE - Alif'!H11,'ELECTRE - Levente'!H11,'ELECTRE - Joao'!H11,'ELECTRE - Dante'!H11)</f>
        <v>3</v>
      </c>
      <c r="K11" s="36">
        <f>AVERAGE('ELECTRE - Alif'!I11,'ELECTRE - Levente'!I11,'ELECTRE - Joao'!I11,'ELECTRE - Dante'!I11)</f>
        <v>4</v>
      </c>
    </row>
    <row r="12" spans="2:11" x14ac:dyDescent="0.3">
      <c r="D12" s="8">
        <v>18</v>
      </c>
      <c r="E12" s="3"/>
      <c r="F12" s="2">
        <f>AVERAGE('ELECTRE - Alif'!D12,'ELECTRE - Levente'!D12,'ELECTRE - Joao'!D12,'ELECTRE - Dante'!D12)</f>
        <v>4</v>
      </c>
      <c r="G12" s="2">
        <v>5</v>
      </c>
      <c r="H12" s="2">
        <v>3</v>
      </c>
      <c r="I12" s="2">
        <f>AVERAGE('ELECTRE - Alif'!G12,'ELECTRE - Levente'!G12,'ELECTRE - Joao'!G12,'ELECTRE - Dante'!G12)</f>
        <v>2</v>
      </c>
      <c r="J12" s="2">
        <f>AVERAGE('ELECTRE - Alif'!H12,'ELECTRE - Levente'!H12,'ELECTRE - Joao'!H12,'ELECTRE - Dante'!H12)</f>
        <v>5</v>
      </c>
      <c r="K12" s="36">
        <f>AVERAGE('ELECTRE - Alif'!I12,'ELECTRE - Levente'!I12,'ELECTRE - Joao'!I12,'ELECTRE - Dante'!I12)</f>
        <v>4</v>
      </c>
    </row>
    <row r="13" spans="2:11" ht="15" thickBot="1" x14ac:dyDescent="0.35">
      <c r="D13" s="9">
        <v>20</v>
      </c>
      <c r="E13" s="10"/>
      <c r="F13" s="11">
        <f>AVERAGE('ELECTRE - Alif'!D13,'ELECTRE - Levente'!D13,'ELECTRE - Joao'!D13,'ELECTRE - Dante'!D13)</f>
        <v>3</v>
      </c>
      <c r="G13" s="11">
        <v>4</v>
      </c>
      <c r="H13" s="11">
        <v>5</v>
      </c>
      <c r="I13" s="11">
        <f>AVERAGE('ELECTRE - Alif'!G13,'ELECTRE - Levente'!G13,'ELECTRE - Joao'!G13,'ELECTRE - Dante'!G13)</f>
        <v>3</v>
      </c>
      <c r="J13" s="11">
        <v>5</v>
      </c>
      <c r="K13" s="37">
        <f>AVERAGE('ELECTRE - Alif'!I13,'ELECTRE - Levente'!I13,'ELECTRE - Joao'!I13,'ELECTRE - Dante'!I13)</f>
        <v>3</v>
      </c>
    </row>
    <row r="14" spans="2:11" ht="15" thickBot="1" x14ac:dyDescent="0.35">
      <c r="E14" s="41"/>
    </row>
    <row r="15" spans="2:11" ht="15" thickBot="1" x14ac:dyDescent="0.35">
      <c r="E15" s="38" t="s">
        <v>0</v>
      </c>
      <c r="F15" s="39">
        <f>MAX('ELECTRE - Alif'!D2,'ELECTRE - Levente'!D2,'ELECTRE - Joao'!D2,'ELECTRE - Dante'!D2) - MIN('ELECTRE - Alif'!D2,'ELECTRE - Levente'!D2,'ELECTRE - Joao'!D2,'ELECTRE - Dante'!D2)</f>
        <v>6</v>
      </c>
      <c r="G15" s="39">
        <f>MAX('ELECTRE - Alif'!E2,'ELECTRE - Levente'!E2,'ELECTRE - Joao'!E2,'ELECTRE - Dante'!E2) - MIN('ELECTRE - Alif'!E2,'ELECTRE - Levente'!E2,'ELECTRE - Joao'!E2,'ELECTRE - Dante'!E2)</f>
        <v>3</v>
      </c>
      <c r="H15" s="39">
        <f>MAX('ELECTRE - Alif'!F2,'ELECTRE - Levente'!F2,'ELECTRE - Joao'!F2,'ELECTRE - Dante'!F2) - MIN('ELECTRE - Alif'!F2,'ELECTRE - Levente'!F2,'ELECTRE - Joao'!F2,'ELECTRE - Dante'!F2)</f>
        <v>2</v>
      </c>
      <c r="I15" s="39">
        <f>MAX('ELECTRE - Alif'!G2,'ELECTRE - Levente'!G2,'ELECTRE - Joao'!G2,'ELECTRE - Dante'!G2) - MIN('ELECTRE - Alif'!G2,'ELECTRE - Levente'!G2,'ELECTRE - Joao'!G2,'ELECTRE - Dante'!G2)</f>
        <v>2</v>
      </c>
      <c r="J15" s="39">
        <f>MAX('ELECTRE - Alif'!H2,'ELECTRE - Levente'!H2,'ELECTRE - Joao'!H2,'ELECTRE - Dante'!H2) - MIN('ELECTRE - Alif'!H2,'ELECTRE - Levente'!H2,'ELECTRE - Joao'!H2,'ELECTRE - Dante'!H2)</f>
        <v>2</v>
      </c>
      <c r="K15" s="40">
        <f>MAX('ELECTRE - Alif'!I2,'ELECTRE - Levente'!I2,'ELECTRE - Joao'!I2,'ELECTRE - Dante'!I2) - MIN('ELECTRE - Alif'!I2,'ELECTRE - Levente'!I2,'ELECTRE - Joao'!I2,'ELECTRE - Dante'!I2)</f>
        <v>3</v>
      </c>
    </row>
    <row r="16" spans="2:11" ht="27.6" customHeight="1" x14ac:dyDescent="0.3">
      <c r="B16" t="s">
        <v>37</v>
      </c>
      <c r="D16" s="5" t="s">
        <v>1</v>
      </c>
      <c r="E16" s="6"/>
      <c r="F16" s="7" t="s">
        <v>3</v>
      </c>
      <c r="G16" s="7" t="s">
        <v>4</v>
      </c>
      <c r="H16" s="7" t="s">
        <v>5</v>
      </c>
      <c r="I16" s="7" t="s">
        <v>6</v>
      </c>
      <c r="J16" s="12" t="s">
        <v>7</v>
      </c>
      <c r="K16" s="13" t="s">
        <v>8</v>
      </c>
    </row>
    <row r="17" spans="4:11" x14ac:dyDescent="0.3">
      <c r="D17" s="8">
        <v>1</v>
      </c>
      <c r="E17" s="3"/>
      <c r="F17" s="2">
        <f>MAX('ELECTRE - Alif'!D4,'ELECTRE - Levente'!D4,'ELECTRE - Joao'!D4,'ELECTRE - Dante'!D4) - MIN('ELECTRE - Alif'!D4,'ELECTRE - Levente'!D4,'ELECTRE - Joao'!D4,'ELECTRE - Dante'!D4)</f>
        <v>0</v>
      </c>
      <c r="G17" s="2">
        <f>MAX('ELECTRE - Alif'!E4,'ELECTRE - Levente'!E4,'ELECTRE - Joao'!E4,'ELECTRE - Dante'!E4) - MIN('ELECTRE - Alif'!E4,'ELECTRE - Levente'!E4,'ELECTRE - Joao'!E4,'ELECTRE - Dante'!E4)</f>
        <v>1</v>
      </c>
      <c r="H17" s="2">
        <f>MAX('ELECTRE - Alif'!F4,'ELECTRE - Levente'!F4,'ELECTRE - Joao'!F4,'ELECTRE - Dante'!F4) - MIN('ELECTRE - Alif'!F4,'ELECTRE - Levente'!F4,'ELECTRE - Joao'!F4,'ELECTRE - Dante'!F4)</f>
        <v>1</v>
      </c>
      <c r="I17" s="2">
        <f>MAX('ELECTRE - Alif'!G4,'ELECTRE - Levente'!G4,'ELECTRE - Joao'!G4,'ELECTRE - Dante'!G4) - MIN('ELECTRE - Alif'!G4,'ELECTRE - Levente'!G4,'ELECTRE - Joao'!G4,'ELECTRE - Dante'!G4)</f>
        <v>1</v>
      </c>
      <c r="J17" s="2">
        <f>MAX('ELECTRE - Alif'!H4,'ELECTRE - Levente'!H4,'ELECTRE - Joao'!H4,'ELECTRE - Dante'!H4) - MIN('ELECTRE - Alif'!H4,'ELECTRE - Levente'!H4,'ELECTRE - Joao'!H4,'ELECTRE - Dante'!H4)</f>
        <v>0</v>
      </c>
      <c r="K17" s="36">
        <f>MAX('ELECTRE - Alif'!I4,'ELECTRE - Levente'!I4,'ELECTRE - Joao'!I4,'ELECTRE - Dante'!I4) - MIN('ELECTRE - Alif'!I4,'ELECTRE - Levente'!I4,'ELECTRE - Joao'!I4,'ELECTRE - Dante'!I4)</f>
        <v>0</v>
      </c>
    </row>
    <row r="18" spans="4:11" x14ac:dyDescent="0.3">
      <c r="D18" s="8">
        <v>3</v>
      </c>
      <c r="E18" s="3"/>
      <c r="F18" s="2">
        <f>MAX('ELECTRE - Alif'!D5,'ELECTRE - Levente'!D5,'ELECTRE - Joao'!D5,'ELECTRE - Dante'!D5) - MIN('ELECTRE - Alif'!D5,'ELECTRE - Levente'!D5,'ELECTRE - Joao'!D5,'ELECTRE - Dante'!D5)</f>
        <v>2</v>
      </c>
      <c r="G18" s="2">
        <f>MAX('ELECTRE - Alif'!E5,'ELECTRE - Levente'!E5,'ELECTRE - Joao'!E5,'ELECTRE - Dante'!E5) - MIN('ELECTRE - Alif'!E5,'ELECTRE - Levente'!E5,'ELECTRE - Joao'!E5,'ELECTRE - Dante'!E5)</f>
        <v>2</v>
      </c>
      <c r="H18" s="2">
        <f>MAX('ELECTRE - Alif'!F5,'ELECTRE - Levente'!F5,'ELECTRE - Joao'!F5,'ELECTRE - Dante'!F5) - MIN('ELECTRE - Alif'!F5,'ELECTRE - Levente'!F5,'ELECTRE - Joao'!F5,'ELECTRE - Dante'!F5)</f>
        <v>2</v>
      </c>
      <c r="I18" s="2">
        <f>MAX('ELECTRE - Alif'!G5,'ELECTRE - Levente'!G5,'ELECTRE - Joao'!G5,'ELECTRE - Dante'!G5) - MIN('ELECTRE - Alif'!G5,'ELECTRE - Levente'!G5,'ELECTRE - Joao'!G5,'ELECTRE - Dante'!G5)</f>
        <v>0</v>
      </c>
      <c r="J18" s="2">
        <f>MAX('ELECTRE - Alif'!H5,'ELECTRE - Levente'!H5,'ELECTRE - Joao'!H5,'ELECTRE - Dante'!H5) - MIN('ELECTRE - Alif'!H5,'ELECTRE - Levente'!H5,'ELECTRE - Joao'!H5,'ELECTRE - Dante'!H5)</f>
        <v>1</v>
      </c>
      <c r="K18" s="36">
        <f>MAX('ELECTRE - Alif'!I5,'ELECTRE - Levente'!I5,'ELECTRE - Joao'!I5,'ELECTRE - Dante'!I5) - MIN('ELECTRE - Alif'!I5,'ELECTRE - Levente'!I5,'ELECTRE - Joao'!I5,'ELECTRE - Dante'!I5)</f>
        <v>0</v>
      </c>
    </row>
    <row r="19" spans="4:11" x14ac:dyDescent="0.3">
      <c r="D19" s="8">
        <v>9</v>
      </c>
      <c r="E19" s="4"/>
      <c r="F19" s="2">
        <f>MAX('ELECTRE - Alif'!D6,'ELECTRE - Levente'!D6,'ELECTRE - Joao'!D6,'ELECTRE - Dante'!D6) - MIN('ELECTRE - Alif'!D6,'ELECTRE - Levente'!D6,'ELECTRE - Joao'!D6,'ELECTRE - Dante'!D6)</f>
        <v>0</v>
      </c>
      <c r="G19" s="2">
        <f>MAX('ELECTRE - Alif'!E6,'ELECTRE - Levente'!E6,'ELECTRE - Joao'!E6,'ELECTRE - Dante'!E6) - MIN('ELECTRE - Alif'!E6,'ELECTRE - Levente'!E6,'ELECTRE - Joao'!E6,'ELECTRE - Dante'!E6)</f>
        <v>0</v>
      </c>
      <c r="H19" s="2">
        <f>MAX('ELECTRE - Alif'!F6,'ELECTRE - Levente'!F6,'ELECTRE - Joao'!F6,'ELECTRE - Dante'!F6) - MIN('ELECTRE - Alif'!F6,'ELECTRE - Levente'!F6,'ELECTRE - Joao'!F6,'ELECTRE - Dante'!F6)</f>
        <v>0</v>
      </c>
      <c r="I19" s="2">
        <f>MAX('ELECTRE - Alif'!G6,'ELECTRE - Levente'!G6,'ELECTRE - Joao'!G6,'ELECTRE - Dante'!G6) - MIN('ELECTRE - Alif'!G6,'ELECTRE - Levente'!G6,'ELECTRE - Joao'!G6,'ELECTRE - Dante'!G6)</f>
        <v>2</v>
      </c>
      <c r="J19" s="2">
        <f>MAX('ELECTRE - Alif'!H6,'ELECTRE - Levente'!H6,'ELECTRE - Joao'!H6,'ELECTRE - Dante'!H6) - MIN('ELECTRE - Alif'!H6,'ELECTRE - Levente'!H6,'ELECTRE - Joao'!H6,'ELECTRE - Dante'!H6)</f>
        <v>0</v>
      </c>
      <c r="K19" s="36">
        <f>MAX('ELECTRE - Alif'!I6,'ELECTRE - Levente'!I6,'ELECTRE - Joao'!I6,'ELECTRE - Dante'!I6) - MIN('ELECTRE - Alif'!I6,'ELECTRE - Levente'!I6,'ELECTRE - Joao'!I6,'ELECTRE - Dante'!I6)</f>
        <v>0</v>
      </c>
    </row>
    <row r="20" spans="4:11" x14ac:dyDescent="0.3">
      <c r="D20" s="8">
        <v>10</v>
      </c>
      <c r="E20" s="3"/>
      <c r="F20" s="2">
        <f>MAX('ELECTRE - Alif'!D7,'ELECTRE - Levente'!D7,'ELECTRE - Joao'!D7,'ELECTRE - Dante'!D7) - MIN('ELECTRE - Alif'!D7,'ELECTRE - Levente'!D7,'ELECTRE - Joao'!D7,'ELECTRE - Dante'!D7)</f>
        <v>0</v>
      </c>
      <c r="G20" s="2">
        <f>MAX('ELECTRE - Alif'!E7,'ELECTRE - Levente'!E7,'ELECTRE - Joao'!E7,'ELECTRE - Dante'!E7) - MIN('ELECTRE - Alif'!E7,'ELECTRE - Levente'!E7,'ELECTRE - Joao'!E7,'ELECTRE - Dante'!E7)</f>
        <v>1</v>
      </c>
      <c r="H20" s="2">
        <f>MAX('ELECTRE - Alif'!F7,'ELECTRE - Levente'!F7,'ELECTRE - Joao'!F7,'ELECTRE - Dante'!F7) - MIN('ELECTRE - Alif'!F7,'ELECTRE - Levente'!F7,'ELECTRE - Joao'!F7,'ELECTRE - Dante'!F7)</f>
        <v>2</v>
      </c>
      <c r="I20" s="2">
        <f>MAX('ELECTRE - Alif'!G7,'ELECTRE - Levente'!G7,'ELECTRE - Joao'!G7,'ELECTRE - Dante'!G7) - MIN('ELECTRE - Alif'!G7,'ELECTRE - Levente'!G7,'ELECTRE - Joao'!G7,'ELECTRE - Dante'!G7)</f>
        <v>1</v>
      </c>
      <c r="J20" s="2">
        <f>MAX('ELECTRE - Alif'!H7,'ELECTRE - Levente'!H7,'ELECTRE - Joao'!H7,'ELECTRE - Dante'!H7) - MIN('ELECTRE - Alif'!H7,'ELECTRE - Levente'!H7,'ELECTRE - Joao'!H7,'ELECTRE - Dante'!H7)</f>
        <v>0</v>
      </c>
      <c r="K20" s="36">
        <f>MAX('ELECTRE - Alif'!I7,'ELECTRE - Levente'!I7,'ELECTRE - Joao'!I7,'ELECTRE - Dante'!I7) - MIN('ELECTRE - Alif'!I7,'ELECTRE - Levente'!I7,'ELECTRE - Joao'!I7,'ELECTRE - Dante'!I7)</f>
        <v>0</v>
      </c>
    </row>
    <row r="21" spans="4:11" x14ac:dyDescent="0.3">
      <c r="D21" s="8">
        <v>11</v>
      </c>
      <c r="E21" s="3"/>
      <c r="F21" s="2">
        <f>MAX('ELECTRE - Alif'!D8,'ELECTRE - Levente'!D8,'ELECTRE - Joao'!D8,'ELECTRE - Dante'!D8) - MIN('ELECTRE - Alif'!D8,'ELECTRE - Levente'!D8,'ELECTRE - Joao'!D8,'ELECTRE - Dante'!D8)</f>
        <v>1</v>
      </c>
      <c r="G21" s="2">
        <f>MAX('ELECTRE - Alif'!E8,'ELECTRE - Levente'!E8,'ELECTRE - Joao'!E8,'ELECTRE - Dante'!E8) - MIN('ELECTRE - Alif'!E8,'ELECTRE - Levente'!E8,'ELECTRE - Joao'!E8,'ELECTRE - Dante'!E8)</f>
        <v>2</v>
      </c>
      <c r="H21" s="2">
        <f>MAX('ELECTRE - Alif'!F8,'ELECTRE - Levente'!F8,'ELECTRE - Joao'!F8,'ELECTRE - Dante'!F8) - MIN('ELECTRE - Alif'!F8,'ELECTRE - Levente'!F8,'ELECTRE - Joao'!F8,'ELECTRE - Dante'!F8)</f>
        <v>2</v>
      </c>
      <c r="I21" s="2">
        <f>MAX('ELECTRE - Alif'!G8,'ELECTRE - Levente'!G8,'ELECTRE - Joao'!G8,'ELECTRE - Dante'!G8) - MIN('ELECTRE - Alif'!G8,'ELECTRE - Levente'!G8,'ELECTRE - Joao'!G8,'ELECTRE - Dante'!G8)</f>
        <v>1</v>
      </c>
      <c r="J21" s="2">
        <f>MAX('ELECTRE - Alif'!H8,'ELECTRE - Levente'!H8,'ELECTRE - Joao'!H8,'ELECTRE - Dante'!H8) - MIN('ELECTRE - Alif'!H8,'ELECTRE - Levente'!H8,'ELECTRE - Joao'!H8,'ELECTRE - Dante'!H8)</f>
        <v>0</v>
      </c>
      <c r="K21" s="36">
        <f>MAX('ELECTRE - Alif'!I8,'ELECTRE - Levente'!I8,'ELECTRE - Joao'!I8,'ELECTRE - Dante'!I8) - MIN('ELECTRE - Alif'!I8,'ELECTRE - Levente'!I8,'ELECTRE - Joao'!I8,'ELECTRE - Dante'!I8)</f>
        <v>0</v>
      </c>
    </row>
    <row r="22" spans="4:11" x14ac:dyDescent="0.3">
      <c r="D22" s="8">
        <v>12</v>
      </c>
      <c r="E22" s="3"/>
      <c r="F22" s="2">
        <f>MAX('ELECTRE - Alif'!D9,'ELECTRE - Levente'!D9,'ELECTRE - Joao'!D9,'ELECTRE - Dante'!D9) - MIN('ELECTRE - Alif'!D9,'ELECTRE - Levente'!D9,'ELECTRE - Joao'!D9,'ELECTRE - Dante'!D9)</f>
        <v>0</v>
      </c>
      <c r="G22" s="2">
        <f>MAX('ELECTRE - Alif'!E9,'ELECTRE - Levente'!E9,'ELECTRE - Joao'!E9,'ELECTRE - Dante'!E9) - MIN('ELECTRE - Alif'!E9,'ELECTRE - Levente'!E9,'ELECTRE - Joao'!E9,'ELECTRE - Dante'!E9)</f>
        <v>3</v>
      </c>
      <c r="H22" s="2">
        <f>MAX('ELECTRE - Alif'!F9,'ELECTRE - Levente'!F9,'ELECTRE - Joao'!F9,'ELECTRE - Dante'!F9) - MIN('ELECTRE - Alif'!F9,'ELECTRE - Levente'!F9,'ELECTRE - Joao'!F9,'ELECTRE - Dante'!F9)</f>
        <v>3</v>
      </c>
      <c r="I22" s="2">
        <f>MAX('ELECTRE - Alif'!G9,'ELECTRE - Levente'!G9,'ELECTRE - Joao'!G9,'ELECTRE - Dante'!G9) - MIN('ELECTRE - Alif'!G9,'ELECTRE - Levente'!G9,'ELECTRE - Joao'!G9,'ELECTRE - Dante'!G9)</f>
        <v>0</v>
      </c>
      <c r="J22" s="2">
        <f>MAX('ELECTRE - Alif'!H9,'ELECTRE - Levente'!H9,'ELECTRE - Joao'!H9,'ELECTRE - Dante'!H9) - MIN('ELECTRE - Alif'!H9,'ELECTRE - Levente'!H9,'ELECTRE - Joao'!H9,'ELECTRE - Dante'!H9)</f>
        <v>2</v>
      </c>
      <c r="K22" s="36">
        <f>MAX('ELECTRE - Alif'!I9,'ELECTRE - Levente'!I9,'ELECTRE - Joao'!I9,'ELECTRE - Dante'!I9) - MIN('ELECTRE - Alif'!I9,'ELECTRE - Levente'!I9,'ELECTRE - Joao'!I9,'ELECTRE - Dante'!I9)</f>
        <v>0</v>
      </c>
    </row>
    <row r="23" spans="4:11" x14ac:dyDescent="0.3">
      <c r="D23" s="8">
        <v>13</v>
      </c>
      <c r="E23" s="3"/>
      <c r="F23" s="2">
        <f>MAX('ELECTRE - Alif'!D10,'ELECTRE - Levente'!D10,'ELECTRE - Joao'!D10,'ELECTRE - Dante'!D10) - MIN('ELECTRE - Alif'!D10,'ELECTRE - Levente'!D10,'ELECTRE - Joao'!D10,'ELECTRE - Dante'!D10)</f>
        <v>0</v>
      </c>
      <c r="G23" s="2">
        <f>MAX('ELECTRE - Alif'!E10,'ELECTRE - Levente'!E10,'ELECTRE - Joao'!E10,'ELECTRE - Dante'!E10) - MIN('ELECTRE - Alif'!E10,'ELECTRE - Levente'!E10,'ELECTRE - Joao'!E10,'ELECTRE - Dante'!E10)</f>
        <v>1</v>
      </c>
      <c r="H23" s="2">
        <f>MAX('ELECTRE - Alif'!F10,'ELECTRE - Levente'!F10,'ELECTRE - Joao'!F10,'ELECTRE - Dante'!F10) - MIN('ELECTRE - Alif'!F10,'ELECTRE - Levente'!F10,'ELECTRE - Joao'!F10,'ELECTRE - Dante'!F10)</f>
        <v>1</v>
      </c>
      <c r="I23" s="2">
        <f>MAX('ELECTRE - Alif'!G10,'ELECTRE - Levente'!G10,'ELECTRE - Joao'!G10,'ELECTRE - Dante'!G10) - MIN('ELECTRE - Alif'!G10,'ELECTRE - Levente'!G10,'ELECTRE - Joao'!G10,'ELECTRE - Dante'!G10)</f>
        <v>1</v>
      </c>
      <c r="J23" s="2">
        <f>MAX('ELECTRE - Alif'!H10,'ELECTRE - Levente'!H10,'ELECTRE - Joao'!H10,'ELECTRE - Dante'!H10) - MIN('ELECTRE - Alif'!H10,'ELECTRE - Levente'!H10,'ELECTRE - Joao'!H10,'ELECTRE - Dante'!H10)</f>
        <v>2</v>
      </c>
      <c r="K23" s="36">
        <f>MAX('ELECTRE - Alif'!I10,'ELECTRE - Levente'!I10,'ELECTRE - Joao'!I10,'ELECTRE - Dante'!I10) - MIN('ELECTRE - Alif'!I10,'ELECTRE - Levente'!I10,'ELECTRE - Joao'!I10,'ELECTRE - Dante'!I10)</f>
        <v>0</v>
      </c>
    </row>
    <row r="24" spans="4:11" x14ac:dyDescent="0.3">
      <c r="D24" s="8">
        <v>16</v>
      </c>
      <c r="E24" s="3"/>
      <c r="F24" s="2">
        <f>MAX('ELECTRE - Alif'!D11,'ELECTRE - Levente'!D11,'ELECTRE - Joao'!D11,'ELECTRE - Dante'!D11) - MIN('ELECTRE - Alif'!D11,'ELECTRE - Levente'!D11,'ELECTRE - Joao'!D11,'ELECTRE - Dante'!D11)</f>
        <v>2</v>
      </c>
      <c r="G24" s="2">
        <f>MAX('ELECTRE - Alif'!E11,'ELECTRE - Levente'!E11,'ELECTRE - Joao'!E11,'ELECTRE - Dante'!E11) - MIN('ELECTRE - Alif'!E11,'ELECTRE - Levente'!E11,'ELECTRE - Joao'!E11,'ELECTRE - Dante'!E11)</f>
        <v>1</v>
      </c>
      <c r="H24" s="2">
        <f>MAX('ELECTRE - Alif'!F11,'ELECTRE - Levente'!F11,'ELECTRE - Joao'!F11,'ELECTRE - Dante'!F11) - MIN('ELECTRE - Alif'!F11,'ELECTRE - Levente'!F11,'ELECTRE - Joao'!F11,'ELECTRE - Dante'!F11)</f>
        <v>3</v>
      </c>
      <c r="I24" s="2">
        <f>MAX('ELECTRE - Alif'!G11,'ELECTRE - Levente'!G11,'ELECTRE - Joao'!G11,'ELECTRE - Dante'!G11) - MIN('ELECTRE - Alif'!G11,'ELECTRE - Levente'!G11,'ELECTRE - Joao'!G11,'ELECTRE - Dante'!G11)</f>
        <v>0</v>
      </c>
      <c r="J24" s="2">
        <f>MAX('ELECTRE - Alif'!H11,'ELECTRE - Levente'!H11,'ELECTRE - Joao'!H11,'ELECTRE - Dante'!H11) - MIN('ELECTRE - Alif'!H11,'ELECTRE - Levente'!H11,'ELECTRE - Joao'!H11,'ELECTRE - Dante'!H11)</f>
        <v>2</v>
      </c>
      <c r="K24" s="36">
        <f>MAX('ELECTRE - Alif'!I11,'ELECTRE - Levente'!I11,'ELECTRE - Joao'!I11,'ELECTRE - Dante'!I11) - MIN('ELECTRE - Alif'!I11,'ELECTRE - Levente'!I11,'ELECTRE - Joao'!I11,'ELECTRE - Dante'!I11)</f>
        <v>0</v>
      </c>
    </row>
    <row r="25" spans="4:11" x14ac:dyDescent="0.3">
      <c r="D25" s="8">
        <v>18</v>
      </c>
      <c r="E25" s="3"/>
      <c r="F25" s="2">
        <f>MAX('ELECTRE - Alif'!D12,'ELECTRE - Levente'!D12,'ELECTRE - Joao'!D12,'ELECTRE - Dante'!D12) - MIN('ELECTRE - Alif'!D12,'ELECTRE - Levente'!D12,'ELECTRE - Joao'!D12,'ELECTRE - Dante'!D12)</f>
        <v>0</v>
      </c>
      <c r="G25" s="2">
        <f>MAX('ELECTRE - Alif'!E12,'ELECTRE - Levente'!E12,'ELECTRE - Joao'!E12,'ELECTRE - Dante'!E12) - MIN('ELECTRE - Alif'!E12,'ELECTRE - Levente'!E12,'ELECTRE - Joao'!E12,'ELECTRE - Dante'!E12)</f>
        <v>2</v>
      </c>
      <c r="H25" s="2">
        <f>MAX('ELECTRE - Alif'!F12,'ELECTRE - Levente'!F12,'ELECTRE - Joao'!F12,'ELECTRE - Dante'!F12) - MIN('ELECTRE - Alif'!F12,'ELECTRE - Levente'!F12,'ELECTRE - Joao'!F12,'ELECTRE - Dante'!F12)</f>
        <v>1</v>
      </c>
      <c r="I25" s="2">
        <f>MAX('ELECTRE - Alif'!G12,'ELECTRE - Levente'!G12,'ELECTRE - Joao'!G12,'ELECTRE - Dante'!G12) - MIN('ELECTRE - Alif'!G12,'ELECTRE - Levente'!G12,'ELECTRE - Joao'!G12,'ELECTRE - Dante'!G12)</f>
        <v>2</v>
      </c>
      <c r="J25" s="2">
        <f>MAX('ELECTRE - Alif'!H12,'ELECTRE - Levente'!H12,'ELECTRE - Joao'!H12,'ELECTRE - Dante'!H12) - MIN('ELECTRE - Alif'!H12,'ELECTRE - Levente'!H12,'ELECTRE - Joao'!H12,'ELECTRE - Dante'!H12)</f>
        <v>0</v>
      </c>
      <c r="K25" s="36">
        <f>MAX('ELECTRE - Alif'!I12,'ELECTRE - Levente'!I12,'ELECTRE - Joao'!I12,'ELECTRE - Dante'!I12) - MIN('ELECTRE - Alif'!I12,'ELECTRE - Levente'!I12,'ELECTRE - Joao'!I12,'ELECTRE - Dante'!I12)</f>
        <v>0</v>
      </c>
    </row>
    <row r="26" spans="4:11" ht="15" thickBot="1" x14ac:dyDescent="0.35">
      <c r="D26" s="9">
        <v>20</v>
      </c>
      <c r="E26" s="10"/>
      <c r="F26" s="11">
        <f>MAX('ELECTRE - Alif'!D13,'ELECTRE - Levente'!D13,'ELECTRE - Joao'!D13,'ELECTRE - Dante'!D13) - MIN('ELECTRE - Alif'!D13,'ELECTRE - Levente'!D13,'ELECTRE - Joao'!D13,'ELECTRE - Dante'!D13)</f>
        <v>0</v>
      </c>
      <c r="G26" s="11">
        <f>MAX('ELECTRE - Alif'!E13,'ELECTRE - Levente'!E13,'ELECTRE - Joao'!E13,'ELECTRE - Dante'!E13) - MIN('ELECTRE - Alif'!E13,'ELECTRE - Levente'!E13,'ELECTRE - Joao'!E13,'ELECTRE - Dante'!E13)</f>
        <v>2</v>
      </c>
      <c r="H26" s="11">
        <f>MAX('ELECTRE - Alif'!F13,'ELECTRE - Levente'!F13,'ELECTRE - Joao'!F13,'ELECTRE - Dante'!F13) - MIN('ELECTRE - Alif'!F13,'ELECTRE - Levente'!F13,'ELECTRE - Joao'!F13,'ELECTRE - Dante'!F13)</f>
        <v>2</v>
      </c>
      <c r="I26" s="11">
        <f>MAX('ELECTRE - Alif'!G13,'ELECTRE - Levente'!G13,'ELECTRE - Joao'!G13,'ELECTRE - Dante'!G13) - MIN('ELECTRE - Alif'!G13,'ELECTRE - Levente'!G13,'ELECTRE - Joao'!G13,'ELECTRE - Dante'!G13)</f>
        <v>2</v>
      </c>
      <c r="J26" s="11">
        <f>MAX('ELECTRE - Alif'!H13,'ELECTRE - Levente'!H13,'ELECTRE - Joao'!H13,'ELECTRE - Dante'!H13) - MIN('ELECTRE - Alif'!H13,'ELECTRE - Levente'!H13,'ELECTRE - Joao'!H13,'ELECTRE - Dante'!H13)</f>
        <v>1</v>
      </c>
      <c r="K26" s="37">
        <f>MAX('ELECTRE - Alif'!I13,'ELECTRE - Levente'!I13,'ELECTRE - Joao'!I13,'ELECTRE - Dante'!I13) - MIN('ELECTRE - Alif'!I13,'ELECTRE - Levente'!I13,'ELECTRE - Joao'!I13,'ELECTRE - Dante'!I13)</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9F1E6-4CBA-4E2B-8255-59D8612C7566}">
  <dimension ref="B1:H7"/>
  <sheetViews>
    <sheetView zoomScale="70" zoomScaleNormal="70" workbookViewId="0">
      <selection activeCell="K6" sqref="K6"/>
    </sheetView>
  </sheetViews>
  <sheetFormatPr defaultRowHeight="14.4" x14ac:dyDescent="0.3"/>
  <cols>
    <col min="1" max="1" width="3.44140625" customWidth="1"/>
    <col min="2" max="2" width="11.109375" bestFit="1" customWidth="1"/>
    <col min="3" max="3" width="25" style="1" customWidth="1"/>
    <col min="4" max="4" width="23.6640625" style="1" customWidth="1"/>
    <col min="5" max="5" width="24.44140625" style="1" customWidth="1"/>
    <col min="6" max="6" width="24.5546875" style="1" customWidth="1"/>
    <col min="7" max="7" width="32.6640625" style="1" customWidth="1"/>
    <col min="8" max="8" width="22.88671875" style="1" customWidth="1"/>
  </cols>
  <sheetData>
    <row r="1" spans="2:8" ht="15" thickBot="1" x14ac:dyDescent="0.35"/>
    <row r="2" spans="2:8" ht="43.95" customHeight="1" x14ac:dyDescent="0.3">
      <c r="B2" s="18" t="s">
        <v>38</v>
      </c>
      <c r="C2" s="19" t="s">
        <v>3</v>
      </c>
      <c r="D2" s="19" t="s">
        <v>39</v>
      </c>
      <c r="E2" s="19" t="s">
        <v>5</v>
      </c>
      <c r="F2" s="19" t="s">
        <v>6</v>
      </c>
      <c r="G2" s="19" t="s">
        <v>7</v>
      </c>
      <c r="H2" s="20" t="s">
        <v>8</v>
      </c>
    </row>
    <row r="3" spans="2:8" ht="57.6" x14ac:dyDescent="0.3">
      <c r="B3" s="24">
        <v>5</v>
      </c>
      <c r="C3" s="25" t="s">
        <v>40</v>
      </c>
      <c r="D3" s="25" t="s">
        <v>41</v>
      </c>
      <c r="E3" s="25" t="s">
        <v>42</v>
      </c>
      <c r="F3" s="25" t="s">
        <v>43</v>
      </c>
      <c r="G3" s="25" t="s">
        <v>44</v>
      </c>
      <c r="H3" s="26" t="s">
        <v>45</v>
      </c>
    </row>
    <row r="4" spans="2:8" ht="72" x14ac:dyDescent="0.3">
      <c r="B4" s="21">
        <v>4</v>
      </c>
      <c r="C4" s="22" t="s">
        <v>46</v>
      </c>
      <c r="D4" s="22" t="s">
        <v>47</v>
      </c>
      <c r="E4" s="22" t="s">
        <v>48</v>
      </c>
      <c r="F4" s="22" t="s">
        <v>49</v>
      </c>
      <c r="G4" s="22" t="s">
        <v>50</v>
      </c>
      <c r="H4" s="23" t="s">
        <v>51</v>
      </c>
    </row>
    <row r="5" spans="2:8" ht="86.4" x14ac:dyDescent="0.3">
      <c r="B5" s="27">
        <v>3</v>
      </c>
      <c r="C5" s="28" t="s">
        <v>52</v>
      </c>
      <c r="D5" s="28" t="s">
        <v>53</v>
      </c>
      <c r="E5" s="28" t="s">
        <v>54</v>
      </c>
      <c r="F5" s="28" t="s">
        <v>55</v>
      </c>
      <c r="G5" s="28" t="s">
        <v>56</v>
      </c>
      <c r="H5" s="29" t="s">
        <v>57</v>
      </c>
    </row>
    <row r="6" spans="2:8" ht="115.2" x14ac:dyDescent="0.3">
      <c r="B6" s="30">
        <v>2</v>
      </c>
      <c r="C6" s="31" t="s">
        <v>58</v>
      </c>
      <c r="D6" s="31" t="s">
        <v>59</v>
      </c>
      <c r="E6" s="31" t="s">
        <v>60</v>
      </c>
      <c r="F6" s="31" t="s">
        <v>61</v>
      </c>
      <c r="G6" s="31" t="s">
        <v>62</v>
      </c>
      <c r="H6" s="32" t="s">
        <v>63</v>
      </c>
    </row>
    <row r="7" spans="2:8" ht="112.95" customHeight="1" thickBot="1" x14ac:dyDescent="0.35">
      <c r="B7" s="33">
        <v>1</v>
      </c>
      <c r="C7" s="34" t="s">
        <v>64</v>
      </c>
      <c r="D7" s="34" t="s">
        <v>65</v>
      </c>
      <c r="E7" s="34" t="s">
        <v>66</v>
      </c>
      <c r="F7" s="34" t="s">
        <v>67</v>
      </c>
      <c r="G7" s="34" t="s">
        <v>68</v>
      </c>
      <c r="H7" s="35" t="s">
        <v>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C77BD-C485-4045-B165-CEAB8E955DEE}">
  <dimension ref="A1:H11"/>
  <sheetViews>
    <sheetView workbookViewId="0">
      <selection activeCell="G1" sqref="G1"/>
    </sheetView>
  </sheetViews>
  <sheetFormatPr defaultRowHeight="14.4" x14ac:dyDescent="0.3"/>
  <sheetData>
    <row r="1" spans="1:8" x14ac:dyDescent="0.3">
      <c r="A1" t="s">
        <v>1</v>
      </c>
      <c r="B1" t="s">
        <v>2</v>
      </c>
      <c r="C1" t="s">
        <v>3</v>
      </c>
      <c r="D1" t="s">
        <v>4</v>
      </c>
      <c r="E1" t="s">
        <v>5</v>
      </c>
      <c r="F1" t="s">
        <v>6</v>
      </c>
      <c r="G1" t="s">
        <v>7</v>
      </c>
      <c r="H1" t="s">
        <v>8</v>
      </c>
    </row>
    <row r="2" spans="1:8" x14ac:dyDescent="0.3">
      <c r="A2">
        <v>1</v>
      </c>
      <c r="B2" t="s">
        <v>27</v>
      </c>
      <c r="C2">
        <v>4</v>
      </c>
      <c r="D2">
        <v>4</v>
      </c>
      <c r="E2">
        <v>2</v>
      </c>
      <c r="F2">
        <v>1</v>
      </c>
      <c r="G2">
        <v>5</v>
      </c>
      <c r="H2">
        <v>4</v>
      </c>
    </row>
    <row r="3" spans="1:8" x14ac:dyDescent="0.3">
      <c r="A3">
        <v>3</v>
      </c>
      <c r="B3" t="s">
        <v>28</v>
      </c>
      <c r="C3">
        <v>4</v>
      </c>
      <c r="D3">
        <v>3</v>
      </c>
      <c r="E3">
        <v>4</v>
      </c>
      <c r="F3">
        <v>3</v>
      </c>
      <c r="G3">
        <v>3</v>
      </c>
      <c r="H3">
        <v>3</v>
      </c>
    </row>
    <row r="4" spans="1:8" x14ac:dyDescent="0.3">
      <c r="A4">
        <v>9</v>
      </c>
      <c r="B4" t="s">
        <v>29</v>
      </c>
      <c r="C4">
        <v>3</v>
      </c>
      <c r="D4">
        <v>5</v>
      </c>
      <c r="E4">
        <v>1</v>
      </c>
      <c r="F4">
        <v>2</v>
      </c>
      <c r="G4">
        <v>4</v>
      </c>
      <c r="H4">
        <v>3</v>
      </c>
    </row>
    <row r="5" spans="1:8" x14ac:dyDescent="0.3">
      <c r="A5">
        <v>10</v>
      </c>
      <c r="B5" t="s">
        <v>30</v>
      </c>
      <c r="C5">
        <v>3</v>
      </c>
      <c r="D5">
        <v>4</v>
      </c>
      <c r="E5">
        <v>3</v>
      </c>
      <c r="F5">
        <v>3</v>
      </c>
      <c r="G5">
        <v>4</v>
      </c>
      <c r="H5">
        <v>3</v>
      </c>
    </row>
    <row r="6" spans="1:8" x14ac:dyDescent="0.3">
      <c r="A6">
        <v>11</v>
      </c>
      <c r="B6" t="s">
        <v>31</v>
      </c>
      <c r="C6">
        <v>3</v>
      </c>
      <c r="D6">
        <v>1</v>
      </c>
      <c r="E6">
        <v>4</v>
      </c>
      <c r="F6">
        <v>4</v>
      </c>
      <c r="G6">
        <v>3</v>
      </c>
      <c r="H6">
        <v>3</v>
      </c>
    </row>
    <row r="7" spans="1:8" x14ac:dyDescent="0.3">
      <c r="A7">
        <v>12</v>
      </c>
      <c r="B7" t="s">
        <v>32</v>
      </c>
      <c r="C7">
        <v>3</v>
      </c>
      <c r="D7">
        <v>2</v>
      </c>
      <c r="E7">
        <v>5</v>
      </c>
      <c r="F7">
        <v>3</v>
      </c>
      <c r="G7">
        <v>3</v>
      </c>
      <c r="H7">
        <v>4</v>
      </c>
    </row>
    <row r="8" spans="1:8" x14ac:dyDescent="0.3">
      <c r="A8">
        <v>13</v>
      </c>
      <c r="B8" t="s">
        <v>33</v>
      </c>
      <c r="C8">
        <v>4</v>
      </c>
      <c r="D8">
        <v>1</v>
      </c>
      <c r="E8">
        <v>5</v>
      </c>
      <c r="F8">
        <v>5</v>
      </c>
      <c r="G8">
        <v>2</v>
      </c>
      <c r="H8">
        <v>3</v>
      </c>
    </row>
    <row r="9" spans="1:8" x14ac:dyDescent="0.3">
      <c r="A9">
        <v>16</v>
      </c>
      <c r="B9" t="s">
        <v>34</v>
      </c>
      <c r="C9">
        <v>3</v>
      </c>
      <c r="D9">
        <v>2</v>
      </c>
      <c r="E9">
        <v>4</v>
      </c>
      <c r="F9">
        <v>2</v>
      </c>
      <c r="G9">
        <v>3</v>
      </c>
      <c r="H9">
        <v>4</v>
      </c>
    </row>
    <row r="10" spans="1:8" x14ac:dyDescent="0.3">
      <c r="A10">
        <v>18</v>
      </c>
      <c r="B10" t="s">
        <v>35</v>
      </c>
      <c r="C10">
        <v>4</v>
      </c>
      <c r="D10">
        <v>5</v>
      </c>
      <c r="E10">
        <v>3</v>
      </c>
      <c r="F10">
        <v>2</v>
      </c>
      <c r="G10">
        <v>5</v>
      </c>
      <c r="H10">
        <v>4</v>
      </c>
    </row>
    <row r="11" spans="1:8" x14ac:dyDescent="0.3">
      <c r="A11">
        <v>20</v>
      </c>
      <c r="B11" t="s">
        <v>36</v>
      </c>
      <c r="C11">
        <v>3</v>
      </c>
      <c r="D11">
        <v>4</v>
      </c>
      <c r="E11">
        <v>5</v>
      </c>
      <c r="F11">
        <v>3</v>
      </c>
      <c r="G11">
        <v>5</v>
      </c>
      <c r="H11">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5C7D-42D8-4F16-8605-CE03347F8181}">
  <dimension ref="A1:B7"/>
  <sheetViews>
    <sheetView workbookViewId="0">
      <selection activeCell="J13" sqref="J13"/>
    </sheetView>
  </sheetViews>
  <sheetFormatPr defaultRowHeight="14.4" x14ac:dyDescent="0.3"/>
  <sheetData>
    <row r="1" spans="1:2" x14ac:dyDescent="0.3">
      <c r="A1" t="s">
        <v>0</v>
      </c>
      <c r="B1" t="s">
        <v>2</v>
      </c>
    </row>
    <row r="2" spans="1:2" x14ac:dyDescent="0.3">
      <c r="A2">
        <v>4</v>
      </c>
      <c r="B2" t="s">
        <v>3</v>
      </c>
    </row>
    <row r="3" spans="1:2" x14ac:dyDescent="0.3">
      <c r="A3">
        <v>8</v>
      </c>
      <c r="B3" t="s">
        <v>4</v>
      </c>
    </row>
    <row r="4" spans="1:2" x14ac:dyDescent="0.3">
      <c r="A4">
        <v>6</v>
      </c>
      <c r="B4" t="s">
        <v>5</v>
      </c>
    </row>
    <row r="5" spans="1:2" x14ac:dyDescent="0.3">
      <c r="A5">
        <v>4</v>
      </c>
      <c r="B5" t="s">
        <v>6</v>
      </c>
    </row>
    <row r="6" spans="1:2" x14ac:dyDescent="0.3">
      <c r="A6">
        <v>9</v>
      </c>
      <c r="B6" t="s">
        <v>7</v>
      </c>
    </row>
    <row r="7" spans="1:2" x14ac:dyDescent="0.3">
      <c r="A7">
        <v>2</v>
      </c>
      <c r="B7" t="s">
        <v>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DD455-25C2-4E19-883F-C905DFC3BA6A}">
  <dimension ref="A1"/>
  <sheetViews>
    <sheetView zoomScale="85" zoomScaleNormal="85" workbookViewId="0">
      <selection activeCell="Z27" sqref="Z27"/>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B47EE-2F8D-4221-A1F5-63AFC54EB3A7}">
  <dimension ref="O2:BK82"/>
  <sheetViews>
    <sheetView topLeftCell="M3" zoomScale="70" zoomScaleNormal="70" workbookViewId="0">
      <selection activeCell="AV12" sqref="AV12"/>
    </sheetView>
  </sheetViews>
  <sheetFormatPr defaultRowHeight="14.4" x14ac:dyDescent="0.3"/>
  <cols>
    <col min="21" max="21" width="13.33203125" bestFit="1" customWidth="1"/>
    <col min="22" max="22" width="29.44140625" bestFit="1" customWidth="1"/>
    <col min="33" max="33" width="29.44140625" bestFit="1" customWidth="1"/>
    <col min="44" max="44" width="29.44140625" bestFit="1" customWidth="1"/>
    <col min="55" max="55" width="29.44140625" bestFit="1" customWidth="1"/>
    <col min="57" max="57" width="14.44140625" bestFit="1" customWidth="1"/>
    <col min="58" max="58" width="56.6640625" bestFit="1" customWidth="1"/>
    <col min="59" max="59" width="11.6640625" bestFit="1" customWidth="1"/>
  </cols>
  <sheetData>
    <row r="2" spans="15:63" ht="25.8" customHeight="1" x14ac:dyDescent="0.3">
      <c r="P2" s="46" t="s">
        <v>85</v>
      </c>
    </row>
    <row r="4" spans="15:63" x14ac:dyDescent="0.3">
      <c r="P4" s="44" t="s">
        <v>153</v>
      </c>
      <c r="AA4" s="44" t="s">
        <v>179</v>
      </c>
      <c r="AL4" s="44" t="s">
        <v>205</v>
      </c>
    </row>
    <row r="6" spans="15:63" x14ac:dyDescent="0.3">
      <c r="O6" t="s">
        <v>71</v>
      </c>
      <c r="P6" s="44" t="s">
        <v>74</v>
      </c>
      <c r="Z6" t="s">
        <v>159</v>
      </c>
      <c r="AA6" s="44" t="s">
        <v>178</v>
      </c>
      <c r="AK6" t="s">
        <v>169</v>
      </c>
      <c r="AL6" s="44" t="s">
        <v>206</v>
      </c>
      <c r="BH6" t="s">
        <v>228</v>
      </c>
    </row>
    <row r="7" spans="15:63" x14ac:dyDescent="0.3">
      <c r="P7" s="44"/>
      <c r="AA7" s="44"/>
      <c r="AL7" s="44"/>
      <c r="BE7" t="s">
        <v>70</v>
      </c>
      <c r="BG7" t="s">
        <v>227</v>
      </c>
      <c r="BH7" t="s">
        <v>27</v>
      </c>
      <c r="BI7" t="s">
        <v>30</v>
      </c>
      <c r="BJ7" t="s">
        <v>35</v>
      </c>
      <c r="BK7" t="s">
        <v>36</v>
      </c>
    </row>
    <row r="8" spans="15:63" x14ac:dyDescent="0.3">
      <c r="P8" s="59" t="s">
        <v>227</v>
      </c>
      <c r="Q8" s="60">
        <v>0.1</v>
      </c>
      <c r="AA8" s="59" t="s">
        <v>227</v>
      </c>
      <c r="AB8" s="60">
        <v>0.15</v>
      </c>
      <c r="AL8" s="59" t="s">
        <v>227</v>
      </c>
      <c r="AM8" s="60">
        <v>0.3</v>
      </c>
      <c r="BE8" t="s">
        <v>153</v>
      </c>
      <c r="BF8" s="44" t="s">
        <v>74</v>
      </c>
      <c r="BG8">
        <f>BC14</f>
        <v>1.0865978965404702E-2</v>
      </c>
      <c r="BH8">
        <f>$V$10</f>
        <v>0.21627077559759228</v>
      </c>
      <c r="BI8">
        <f>$V$11</f>
        <v>0.12378411853730972</v>
      </c>
      <c r="BJ8">
        <f>$V$12</f>
        <v>0.63406145262088431</v>
      </c>
      <c r="BK8">
        <f>$V$13</f>
        <v>2.5883653244213597E-2</v>
      </c>
    </row>
    <row r="9" spans="15:63" x14ac:dyDescent="0.3">
      <c r="P9" s="47"/>
      <c r="Q9" s="47" t="s">
        <v>27</v>
      </c>
      <c r="R9" s="47" t="s">
        <v>30</v>
      </c>
      <c r="S9" s="47" t="s">
        <v>35</v>
      </c>
      <c r="T9" s="47" t="s">
        <v>36</v>
      </c>
      <c r="U9" s="2"/>
      <c r="V9" s="47" t="s">
        <v>226</v>
      </c>
      <c r="AA9" s="47"/>
      <c r="AB9" s="47" t="s">
        <v>27</v>
      </c>
      <c r="AC9" s="47" t="s">
        <v>30</v>
      </c>
      <c r="AD9" s="47" t="s">
        <v>35</v>
      </c>
      <c r="AE9" s="47" t="s">
        <v>36</v>
      </c>
      <c r="AF9" s="2"/>
      <c r="AG9" s="47" t="s">
        <v>226</v>
      </c>
      <c r="AL9" s="47"/>
      <c r="AM9" s="47" t="s">
        <v>27</v>
      </c>
      <c r="AN9" s="47" t="s">
        <v>30</v>
      </c>
      <c r="AO9" s="47" t="s">
        <v>35</v>
      </c>
      <c r="AP9" s="47" t="s">
        <v>36</v>
      </c>
      <c r="AQ9" s="2"/>
      <c r="AR9" s="47" t="s">
        <v>226</v>
      </c>
      <c r="AU9" s="47"/>
      <c r="AV9" s="47" t="s">
        <v>169</v>
      </c>
      <c r="AW9" s="47" t="s">
        <v>170</v>
      </c>
      <c r="AX9" s="47" t="s">
        <v>159</v>
      </c>
      <c r="AY9" s="47" t="s">
        <v>160</v>
      </c>
      <c r="AZ9" s="47" t="s">
        <v>71</v>
      </c>
      <c r="BA9" s="47" t="s">
        <v>72</v>
      </c>
      <c r="BB9" s="2"/>
      <c r="BC9" s="47" t="s">
        <v>226</v>
      </c>
      <c r="BE9" t="s">
        <v>153</v>
      </c>
      <c r="BF9" s="44" t="s">
        <v>75</v>
      </c>
      <c r="BG9">
        <f>BC15</f>
        <v>1.0865978965404702E-2</v>
      </c>
      <c r="BH9">
        <f>$V$28</f>
        <v>0.51416558256392764</v>
      </c>
      <c r="BI9">
        <f>$V$29</f>
        <v>0.32390402030187643</v>
      </c>
      <c r="BJ9">
        <f>$V$30</f>
        <v>0.1262801467788196</v>
      </c>
      <c r="BK9">
        <f>$V$31</f>
        <v>3.5650250355376153E-2</v>
      </c>
    </row>
    <row r="10" spans="15:63" x14ac:dyDescent="0.3">
      <c r="P10" s="47" t="s">
        <v>27</v>
      </c>
      <c r="Q10" s="2">
        <f>'MCDA - Social'!J5</f>
        <v>1</v>
      </c>
      <c r="R10" s="2">
        <f>'MCDA - Social'!K5</f>
        <v>2</v>
      </c>
      <c r="S10" s="2">
        <f>'MCDA - Social'!L5</f>
        <v>0.33333333333333331</v>
      </c>
      <c r="T10" s="2">
        <f>'MCDA - Social'!M5</f>
        <v>5</v>
      </c>
      <c r="U10" s="2">
        <f>(Q10*R10*S10*T10)^(1/3)</f>
        <v>1.4938015821857216</v>
      </c>
      <c r="V10" s="2">
        <f>U10/SUM($U$10:$U$13)</f>
        <v>0.21627077559759228</v>
      </c>
      <c r="AA10" s="47" t="s">
        <v>27</v>
      </c>
      <c r="AB10" s="61">
        <v>1</v>
      </c>
      <c r="AC10" s="61">
        <v>3</v>
      </c>
      <c r="AD10" s="61">
        <v>0.33333299999999999</v>
      </c>
      <c r="AE10" s="61">
        <v>0.2</v>
      </c>
      <c r="AF10" s="2">
        <f>(AB10*AC10*AD10*AE10)^(1/3)</f>
        <v>0.58480335270799244</v>
      </c>
      <c r="AG10" s="2">
        <f>AF10/SUM($AF$10:$AF$13)</f>
        <v>7.6749463148602218E-2</v>
      </c>
      <c r="AL10" s="47" t="s">
        <v>27</v>
      </c>
      <c r="AM10" s="61">
        <f>'MCDA - Economic'!W27</f>
        <v>1</v>
      </c>
      <c r="AN10" s="61">
        <f>'MCDA - Economic'!X27</f>
        <v>5</v>
      </c>
      <c r="AO10" s="61">
        <f>'MCDA - Economic'!Y27</f>
        <v>0.33333333333333331</v>
      </c>
      <c r="AP10" s="61">
        <f>'MCDA - Economic'!Z27</f>
        <v>0.33333333333333331</v>
      </c>
      <c r="AQ10" s="2">
        <f>(AM10*AN10*AO10*AP10)^(1/3)</f>
        <v>0.82207069144348999</v>
      </c>
      <c r="AR10" s="2">
        <f>AQ10/SUM($AQ$10:$AQ$13)</f>
        <v>0.12366298859441313</v>
      </c>
      <c r="AU10" s="47" t="s">
        <v>169</v>
      </c>
      <c r="AV10" s="2">
        <v>1</v>
      </c>
      <c r="AW10" s="2">
        <v>2</v>
      </c>
      <c r="AX10" s="2">
        <v>5</v>
      </c>
      <c r="AY10" s="2">
        <v>6</v>
      </c>
      <c r="AZ10" s="2">
        <v>6</v>
      </c>
      <c r="BA10" s="2">
        <v>6</v>
      </c>
      <c r="BB10" s="2">
        <f>(AX10*AY10*AZ10*BA10*AW10*AV10)^(1/3)</f>
        <v>12.926608140191297</v>
      </c>
      <c r="BC10" s="2">
        <f>BB10/SUM($BB$10:$BB$15)</f>
        <v>0.62945924066677783</v>
      </c>
      <c r="BE10" t="s">
        <v>179</v>
      </c>
      <c r="BF10" s="44" t="s">
        <v>178</v>
      </c>
      <c r="BG10">
        <f>BC12</f>
        <v>5.9234382417953244E-2</v>
      </c>
      <c r="BH10">
        <f>$AG$10</f>
        <v>7.6749463148602218E-2</v>
      </c>
      <c r="BI10">
        <f>$AG$11</f>
        <v>2.5583145855146434E-2</v>
      </c>
      <c r="BJ10">
        <f>$AG$12</f>
        <v>0.2244167916448275</v>
      </c>
      <c r="BK10">
        <f>$AG$13</f>
        <v>0.67325059935142384</v>
      </c>
    </row>
    <row r="11" spans="15:63" x14ac:dyDescent="0.3">
      <c r="P11" s="47" t="s">
        <v>30</v>
      </c>
      <c r="Q11" s="2">
        <f>'MCDA - Social'!J6</f>
        <v>0.5</v>
      </c>
      <c r="R11" s="2">
        <f>'MCDA - Social'!K6</f>
        <v>1</v>
      </c>
      <c r="S11" s="2">
        <f>'MCDA - Social'!L6</f>
        <v>0.25</v>
      </c>
      <c r="T11" s="2">
        <f>'MCDA - Social'!M6</f>
        <v>5</v>
      </c>
      <c r="U11" s="2">
        <f t="shared" ref="U11:U13" si="0">(Q11*R11*S11*T11)^(1/3)</f>
        <v>0.85498797333834853</v>
      </c>
      <c r="V11" s="2">
        <f t="shared" ref="V11:V13" si="1">U11/SUM($U$10:$U$13)</f>
        <v>0.12378411853730972</v>
      </c>
      <c r="AA11" s="47" t="s">
        <v>30</v>
      </c>
      <c r="AB11" s="61">
        <v>0.33333299999999999</v>
      </c>
      <c r="AC11" s="61">
        <v>1</v>
      </c>
      <c r="AD11" s="61">
        <v>0.2</v>
      </c>
      <c r="AE11" s="61">
        <v>0.111111</v>
      </c>
      <c r="AF11" s="2">
        <f t="shared" ref="AF11:AF13" si="2">(AB11*AC11*AD11*AE11)^(1/3)</f>
        <v>0.19493438592449219</v>
      </c>
      <c r="AG11" s="2">
        <f t="shared" ref="AG11:AG13" si="3">AF11/SUM($AF$10:$AF$13)</f>
        <v>2.5583145855146434E-2</v>
      </c>
      <c r="AL11" s="47" t="s">
        <v>30</v>
      </c>
      <c r="AM11" s="61">
        <f>'MCDA - Economic'!W28</f>
        <v>0.2</v>
      </c>
      <c r="AN11" s="61">
        <f>'MCDA - Economic'!X28</f>
        <v>1</v>
      </c>
      <c r="AO11" s="61">
        <f>'MCDA - Economic'!Y28</f>
        <v>0.14285714285714285</v>
      </c>
      <c r="AP11" s="61">
        <f>'MCDA - Economic'!Z28</f>
        <v>0.14285714285714285</v>
      </c>
      <c r="AQ11" s="2">
        <f t="shared" ref="AQ11:AQ13" si="4">(AM11*AN11*AO11*AP11)^(1/3)</f>
        <v>0.15981270601162809</v>
      </c>
      <c r="AR11" s="2">
        <f t="shared" ref="AR11:AR13" si="5">AQ11/SUM($AQ$10:$AQ$13)</f>
        <v>2.4040410449442214E-2</v>
      </c>
      <c r="AU11" s="47" t="s">
        <v>170</v>
      </c>
      <c r="AV11" s="2">
        <f>1/AW10</f>
        <v>0.5</v>
      </c>
      <c r="AW11" s="2">
        <v>1</v>
      </c>
      <c r="AX11" s="2">
        <v>3</v>
      </c>
      <c r="AY11" s="2">
        <v>5</v>
      </c>
      <c r="AZ11" s="2">
        <v>5</v>
      </c>
      <c r="BA11" s="2">
        <v>5</v>
      </c>
      <c r="BB11" s="2">
        <f t="shared" ref="BB11:BB15" si="6">(AX11*AY11*AZ11*BA11*AW11*AV11)^(1/3)</f>
        <v>5.7235712127666583</v>
      </c>
      <c r="BC11" s="2">
        <f t="shared" ref="BC11:BC15" si="7">BB11/SUM($BB$10:$BB$15)</f>
        <v>0.27870844001905465</v>
      </c>
      <c r="BE11" t="s">
        <v>179</v>
      </c>
      <c r="BF11" s="54" t="s">
        <v>180</v>
      </c>
      <c r="BG11">
        <f>BC13</f>
        <v>1.0865978965404702E-2</v>
      </c>
      <c r="BH11">
        <f>$AG$28</f>
        <v>0.67374603228782204</v>
      </c>
      <c r="BI11">
        <f>$AG$29</f>
        <v>3.2609169338431138E-2</v>
      </c>
      <c r="BJ11">
        <f>$AG$30</f>
        <v>0.19804135400401862</v>
      </c>
      <c r="BK11">
        <f>$AG$31</f>
        <v>9.5603444369728216E-2</v>
      </c>
    </row>
    <row r="12" spans="15:63" x14ac:dyDescent="0.3">
      <c r="P12" s="47" t="s">
        <v>35</v>
      </c>
      <c r="Q12" s="2">
        <f>'MCDA - Social'!J7</f>
        <v>3</v>
      </c>
      <c r="R12" s="2">
        <f>'MCDA - Social'!K7</f>
        <v>4</v>
      </c>
      <c r="S12" s="2">
        <f>'MCDA - Social'!L7</f>
        <v>1</v>
      </c>
      <c r="T12" s="2">
        <f>'MCDA - Social'!M7</f>
        <v>7</v>
      </c>
      <c r="U12" s="2">
        <f t="shared" si="0"/>
        <v>4.379519139887889</v>
      </c>
      <c r="V12" s="2">
        <f t="shared" si="1"/>
        <v>0.63406145262088431</v>
      </c>
      <c r="AA12" s="47" t="s">
        <v>35</v>
      </c>
      <c r="AB12" s="61">
        <v>3</v>
      </c>
      <c r="AC12" s="61">
        <v>5</v>
      </c>
      <c r="AD12" s="61">
        <v>1</v>
      </c>
      <c r="AE12" s="61">
        <v>0.33333299999999999</v>
      </c>
      <c r="AF12" s="2">
        <f t="shared" si="2"/>
        <v>1.7099753766845247</v>
      </c>
      <c r="AG12" s="2">
        <f t="shared" si="3"/>
        <v>0.2244167916448275</v>
      </c>
      <c r="AL12" s="47" t="s">
        <v>35</v>
      </c>
      <c r="AM12" s="61">
        <f>'MCDA - Economic'!W29</f>
        <v>3</v>
      </c>
      <c r="AN12" s="61">
        <f>'MCDA - Economic'!X29</f>
        <v>7</v>
      </c>
      <c r="AO12" s="61">
        <f>'MCDA - Economic'!Y29</f>
        <v>1</v>
      </c>
      <c r="AP12" s="61">
        <f>'MCDA - Economic'!Z29</f>
        <v>0.5</v>
      </c>
      <c r="AQ12" s="2">
        <f t="shared" si="4"/>
        <v>2.1897595699439445</v>
      </c>
      <c r="AR12" s="2">
        <f t="shared" si="5"/>
        <v>0.32940258732128702</v>
      </c>
      <c r="AU12" s="47" t="s">
        <v>159</v>
      </c>
      <c r="AV12" s="2">
        <f>1/AX10</f>
        <v>0.2</v>
      </c>
      <c r="AW12" s="2">
        <f>1/AX11</f>
        <v>0.33333333333333331</v>
      </c>
      <c r="AX12" s="2">
        <v>1</v>
      </c>
      <c r="AY12" s="2">
        <v>3</v>
      </c>
      <c r="AZ12" s="2">
        <v>3</v>
      </c>
      <c r="BA12" s="2">
        <v>3</v>
      </c>
      <c r="BB12" s="2">
        <f t="shared" si="6"/>
        <v>1.2164403991146799</v>
      </c>
      <c r="BC12" s="2">
        <f t="shared" si="7"/>
        <v>5.9234382417953244E-2</v>
      </c>
      <c r="BE12" t="s">
        <v>205</v>
      </c>
      <c r="BF12" s="44" t="s">
        <v>206</v>
      </c>
      <c r="BG12">
        <f>BC10</f>
        <v>0.62945924066677783</v>
      </c>
      <c r="BH12">
        <f>$AR$10</f>
        <v>0.12366298859441313</v>
      </c>
      <c r="BI12">
        <f>$AR$11</f>
        <v>2.4040410449442214E-2</v>
      </c>
      <c r="BJ12">
        <f>$AR$12</f>
        <v>0.32940258732128702</v>
      </c>
      <c r="BK12">
        <f>$AR$13</f>
        <v>0.52289401363485777</v>
      </c>
    </row>
    <row r="13" spans="15:63" x14ac:dyDescent="0.3">
      <c r="P13" s="47" t="s">
        <v>36</v>
      </c>
      <c r="Q13" s="2">
        <f>'MCDA - Social'!J8</f>
        <v>0.2</v>
      </c>
      <c r="R13" s="2">
        <f>'MCDA - Social'!K8</f>
        <v>0.2</v>
      </c>
      <c r="S13" s="2">
        <f>'MCDA - Social'!L8</f>
        <v>0.14285714285714285</v>
      </c>
      <c r="T13" s="2">
        <f>'MCDA - Social'!M8</f>
        <v>1</v>
      </c>
      <c r="U13" s="2">
        <f t="shared" si="0"/>
        <v>0.17878070701931359</v>
      </c>
      <c r="V13" s="2">
        <f t="shared" si="1"/>
        <v>2.5883653244213597E-2</v>
      </c>
      <c r="AA13" s="47" t="s">
        <v>36</v>
      </c>
      <c r="AB13" s="61">
        <v>5</v>
      </c>
      <c r="AC13" s="61">
        <v>9</v>
      </c>
      <c r="AD13" s="61">
        <v>3</v>
      </c>
      <c r="AE13" s="61">
        <v>1</v>
      </c>
      <c r="AF13" s="2">
        <f t="shared" si="2"/>
        <v>5.1299278400300912</v>
      </c>
      <c r="AG13" s="2">
        <f t="shared" si="3"/>
        <v>0.67325059935142384</v>
      </c>
      <c r="AL13" s="47" t="s">
        <v>36</v>
      </c>
      <c r="AM13" s="61">
        <f>'MCDA - Economic'!W30</f>
        <v>3</v>
      </c>
      <c r="AN13" s="61">
        <f>'MCDA - Economic'!X30</f>
        <v>7</v>
      </c>
      <c r="AO13" s="61">
        <f>'MCDA - Economic'!Y30</f>
        <v>2</v>
      </c>
      <c r="AP13" s="61">
        <f>'MCDA - Economic'!Z30</f>
        <v>1</v>
      </c>
      <c r="AQ13" s="2">
        <f t="shared" si="4"/>
        <v>3.4760266448864496</v>
      </c>
      <c r="AR13" s="2">
        <f t="shared" si="5"/>
        <v>0.52289401363485777</v>
      </c>
      <c r="AU13" s="47" t="s">
        <v>160</v>
      </c>
      <c r="AV13" s="2">
        <f>1/AY10</f>
        <v>0.16666666666666666</v>
      </c>
      <c r="AW13" s="2">
        <f>1/AY11</f>
        <v>0.2</v>
      </c>
      <c r="AX13" s="2">
        <f>1/AY12</f>
        <v>0.33333333333333331</v>
      </c>
      <c r="AY13" s="2">
        <v>1</v>
      </c>
      <c r="AZ13" s="2">
        <v>1</v>
      </c>
      <c r="BA13" s="2">
        <v>1</v>
      </c>
      <c r="BB13" s="2">
        <f t="shared" si="6"/>
        <v>0.22314431669405654</v>
      </c>
      <c r="BC13" s="2">
        <f t="shared" si="7"/>
        <v>1.0865978965404702E-2</v>
      </c>
      <c r="BE13" t="s">
        <v>205</v>
      </c>
      <c r="BF13" s="44" t="s">
        <v>207</v>
      </c>
      <c r="BG13">
        <f>BC11</f>
        <v>0.27870844001905465</v>
      </c>
      <c r="BH13">
        <f>$AR$28</f>
        <v>0.10225756760175583</v>
      </c>
      <c r="BI13">
        <f>$AR$29</f>
        <v>2.6727978644154656E-2</v>
      </c>
      <c r="BJ13">
        <f>$AR$30</f>
        <v>0.56424175094882201</v>
      </c>
      <c r="BK13">
        <f>$AR$31</f>
        <v>0.30677270280526753</v>
      </c>
    </row>
    <row r="14" spans="15:63" x14ac:dyDescent="0.3">
      <c r="P14" s="47" t="s">
        <v>154</v>
      </c>
      <c r="Q14" s="14">
        <f>SUM(Q10:Q13)</f>
        <v>4.7</v>
      </c>
      <c r="R14" s="14">
        <f t="shared" ref="R14:V14" si="8">SUM(R10:R13)</f>
        <v>7.2</v>
      </c>
      <c r="S14" s="14">
        <f t="shared" si="8"/>
        <v>1.7261904761904761</v>
      </c>
      <c r="T14" s="14">
        <f t="shared" si="8"/>
        <v>18</v>
      </c>
      <c r="U14" s="14"/>
      <c r="V14" s="14">
        <f t="shared" si="8"/>
        <v>0.99999999999999989</v>
      </c>
      <c r="AA14" s="47" t="s">
        <v>154</v>
      </c>
      <c r="AB14" s="14">
        <f>SUM(AB10:AB13)</f>
        <v>9.3333329999999997</v>
      </c>
      <c r="AC14" s="14">
        <f>SUM(AC10:AC13)</f>
        <v>18</v>
      </c>
      <c r="AD14" s="14">
        <f>SUM(AD10:AD13)</f>
        <v>4.5333329999999998</v>
      </c>
      <c r="AE14" s="14">
        <f>SUM(AE10:AE13)</f>
        <v>1.644444</v>
      </c>
      <c r="AF14" s="14"/>
      <c r="AG14" s="14">
        <f t="shared" ref="AG14" si="9">SUM(AG10:AG13)</f>
        <v>1</v>
      </c>
      <c r="AL14" s="47" t="s">
        <v>154</v>
      </c>
      <c r="AM14" s="14">
        <f>SUM(AM10:AM13)</f>
        <v>7.2</v>
      </c>
      <c r="AN14" s="14">
        <f>SUM(AN10:AN13)</f>
        <v>20</v>
      </c>
      <c r="AO14" s="14">
        <f>SUM(AO10:AO13)</f>
        <v>3.4761904761904763</v>
      </c>
      <c r="AP14" s="14">
        <f>SUM(AP10:AP13)</f>
        <v>1.9761904761904763</v>
      </c>
      <c r="AQ14" s="14"/>
      <c r="AR14" s="14">
        <f t="shared" ref="AR14" si="10">SUM(AR10:AR13)</f>
        <v>1</v>
      </c>
      <c r="AU14" s="47" t="s">
        <v>71</v>
      </c>
      <c r="AV14" s="2">
        <f>1/AZ10</f>
        <v>0.16666666666666666</v>
      </c>
      <c r="AW14" s="2">
        <f>1/AZ11</f>
        <v>0.2</v>
      </c>
      <c r="AX14" s="2">
        <f>1/AZ12</f>
        <v>0.33333333333333331</v>
      </c>
      <c r="AY14" s="2">
        <f>1/AZ13</f>
        <v>1</v>
      </c>
      <c r="AZ14" s="2">
        <v>1</v>
      </c>
      <c r="BA14" s="2">
        <v>1</v>
      </c>
      <c r="BB14" s="2">
        <f t="shared" si="6"/>
        <v>0.22314431669405654</v>
      </c>
      <c r="BC14" s="2">
        <f t="shared" si="7"/>
        <v>1.0865978965404702E-2</v>
      </c>
      <c r="BG14" t="s">
        <v>229</v>
      </c>
      <c r="BH14" s="58">
        <f>($BG$8*BH8)+($BG$9*BH9)+($BG$10*BH10)+($BG$11*BH11)+($BG$12+BH12)+($BG$13*BH13)</f>
        <v>0.80142629977635049</v>
      </c>
      <c r="BI14" s="58">
        <f t="shared" ref="BI14:BK14" si="11">($BG$8*BI8)+($BG$9*BI9)+($BG$10*BI10)+($BG$11*BI11)+($BG$12+BI12)+($BG$13*BI13)</f>
        <v>0.66768326664183153</v>
      </c>
      <c r="BJ14" s="58">
        <f t="shared" si="11"/>
        <v>1.1398277252584181</v>
      </c>
      <c r="BK14" s="58">
        <f t="shared" si="11"/>
        <v>1.2794404303237332</v>
      </c>
    </row>
    <row r="15" spans="15:63" x14ac:dyDescent="0.3">
      <c r="AU15" s="47" t="s">
        <v>72</v>
      </c>
      <c r="AV15" s="2">
        <f>1/BA10</f>
        <v>0.16666666666666666</v>
      </c>
      <c r="AW15" s="2">
        <f>1/BA11</f>
        <v>0.2</v>
      </c>
      <c r="AX15" s="2">
        <f>1/BA12</f>
        <v>0.33333333333333331</v>
      </c>
      <c r="AY15" s="2">
        <f>1/BA13</f>
        <v>1</v>
      </c>
      <c r="AZ15" s="2">
        <f>1/BA14</f>
        <v>1</v>
      </c>
      <c r="BA15" s="2">
        <v>1</v>
      </c>
      <c r="BB15" s="2">
        <f t="shared" si="6"/>
        <v>0.22314431669405654</v>
      </c>
      <c r="BC15" s="2">
        <f t="shared" si="7"/>
        <v>1.0865978965404702E-2</v>
      </c>
      <c r="BG15" t="s">
        <v>231</v>
      </c>
      <c r="BH15">
        <f>BH14*100/SUM($BH$14:$BK$14)</f>
        <v>20.61081399684765</v>
      </c>
      <c r="BI15">
        <f t="shared" ref="BI15:BK15" si="12">BI14*100/SUM($BH$14:$BK$14)</f>
        <v>17.171255324916046</v>
      </c>
      <c r="BJ15">
        <f t="shared" si="12"/>
        <v>29.313708871679424</v>
      </c>
      <c r="BK15">
        <f t="shared" si="12"/>
        <v>32.904221806556876</v>
      </c>
    </row>
    <row r="16" spans="15:63" x14ac:dyDescent="0.3">
      <c r="P16" s="47"/>
      <c r="Q16" s="47" t="s">
        <v>27</v>
      </c>
      <c r="R16" s="47" t="s">
        <v>30</v>
      </c>
      <c r="S16" s="47" t="s">
        <v>35</v>
      </c>
      <c r="T16" s="47" t="s">
        <v>36</v>
      </c>
      <c r="U16" s="2" t="s">
        <v>155</v>
      </c>
      <c r="V16" s="2" t="s">
        <v>156</v>
      </c>
      <c r="W16" s="2" t="s">
        <v>158</v>
      </c>
      <c r="AA16" s="47"/>
      <c r="AB16" s="47" t="s">
        <v>27</v>
      </c>
      <c r="AC16" s="47" t="s">
        <v>30</v>
      </c>
      <c r="AD16" s="47" t="s">
        <v>35</v>
      </c>
      <c r="AE16" s="47" t="s">
        <v>36</v>
      </c>
      <c r="AF16" s="2" t="s">
        <v>155</v>
      </c>
      <c r="AG16" s="2" t="s">
        <v>156</v>
      </c>
      <c r="AH16" s="2" t="s">
        <v>158</v>
      </c>
      <c r="AL16" s="47"/>
      <c r="AM16" s="47" t="s">
        <v>27</v>
      </c>
      <c r="AN16" s="47" t="s">
        <v>30</v>
      </c>
      <c r="AO16" s="47" t="s">
        <v>35</v>
      </c>
      <c r="AP16" s="47" t="s">
        <v>36</v>
      </c>
      <c r="AQ16" s="2" t="s">
        <v>155</v>
      </c>
      <c r="AR16" s="2" t="s">
        <v>156</v>
      </c>
      <c r="AS16" s="2" t="s">
        <v>158</v>
      </c>
      <c r="AU16" s="47" t="s">
        <v>154</v>
      </c>
      <c r="AV16" s="14">
        <f>SUM(AV10:AV15)</f>
        <v>2.1999999999999997</v>
      </c>
      <c r="AW16" s="14">
        <f t="shared" ref="AW16:BC16" si="13">SUM(AW10:AW15)</f>
        <v>3.933333333333334</v>
      </c>
      <c r="AX16" s="14">
        <f t="shared" si="13"/>
        <v>10.000000000000002</v>
      </c>
      <c r="AY16" s="14">
        <f t="shared" si="13"/>
        <v>17</v>
      </c>
      <c r="AZ16" s="14">
        <f t="shared" si="13"/>
        <v>17</v>
      </c>
      <c r="BA16" s="14">
        <f t="shared" si="13"/>
        <v>17</v>
      </c>
      <c r="BB16" s="14"/>
      <c r="BC16" s="14">
        <f t="shared" si="13"/>
        <v>1</v>
      </c>
    </row>
    <row r="17" spans="15:56" x14ac:dyDescent="0.3">
      <c r="P17" s="47" t="s">
        <v>27</v>
      </c>
      <c r="Q17" s="2">
        <f>Q10/Q$14</f>
        <v>0.21276595744680851</v>
      </c>
      <c r="R17" s="2">
        <f t="shared" ref="R17:T17" si="14">R10/R$14</f>
        <v>0.27777777777777779</v>
      </c>
      <c r="S17" s="2">
        <f t="shared" si="14"/>
        <v>0.19310344827586207</v>
      </c>
      <c r="T17" s="2">
        <f t="shared" si="14"/>
        <v>0.27777777777777779</v>
      </c>
      <c r="U17" s="2">
        <f>AVERAGE(Q17:T17)</f>
        <v>0.24035624031955652</v>
      </c>
      <c r="V17" s="2" cm="1">
        <f t="array" ref="V17">MMULT(Q10:T10,U17:U20)/U17</f>
        <v>4.2240315533020176</v>
      </c>
      <c r="W17" s="2">
        <f>(V22-4)/3</f>
        <v>8.1734340299902897E-2</v>
      </c>
      <c r="AA17" s="47" t="s">
        <v>27</v>
      </c>
      <c r="AB17" s="2">
        <f t="shared" ref="AB17:AE20" si="15">AB10/AB$14</f>
        <v>0.1071428609693879</v>
      </c>
      <c r="AC17" s="2">
        <f t="shared" si="15"/>
        <v>0.16666666666666666</v>
      </c>
      <c r="AD17" s="2">
        <f t="shared" si="15"/>
        <v>7.3529343641863504E-2</v>
      </c>
      <c r="AE17" s="2">
        <f t="shared" si="15"/>
        <v>0.12162165449233905</v>
      </c>
      <c r="AF17" s="2">
        <f>AVERAGE(AB17:AE17)</f>
        <v>0.11724013144256429</v>
      </c>
      <c r="AG17" s="2" cm="1">
        <f t="array" ref="AG17">MMULT(AB10:AE10,AF17:AF20)/AF17</f>
        <v>4.0083863421151227</v>
      </c>
      <c r="AH17" s="2">
        <f>(AG22-4)/3</f>
        <v>4.6571923830647677E-2</v>
      </c>
      <c r="AL17" s="47" t="s">
        <v>27</v>
      </c>
      <c r="AM17" s="2">
        <f t="shared" ref="AM17:AP20" si="16">AM10/AM$14</f>
        <v>0.1388888888888889</v>
      </c>
      <c r="AN17" s="2">
        <f t="shared" si="16"/>
        <v>0.25</v>
      </c>
      <c r="AO17" s="2">
        <f t="shared" si="16"/>
        <v>9.5890410958904104E-2</v>
      </c>
      <c r="AP17" s="2">
        <f t="shared" si="16"/>
        <v>0.16867469879518071</v>
      </c>
      <c r="AQ17" s="2">
        <f>AVERAGE(AM17:AP17)</f>
        <v>0.16336349966074343</v>
      </c>
      <c r="AR17" s="2" cm="1">
        <f t="array" ref="AR17">MMULT(AM10:AP10,AQ17:AQ20)/AQ17</f>
        <v>4.0723027488178261</v>
      </c>
      <c r="AS17" s="2">
        <f>(AR22-4)/3</f>
        <v>7.6610077087696141E-2</v>
      </c>
    </row>
    <row r="18" spans="15:56" x14ac:dyDescent="0.3">
      <c r="P18" s="47" t="s">
        <v>30</v>
      </c>
      <c r="Q18" s="2">
        <f t="shared" ref="Q18:T20" si="17">Q11/Q$14</f>
        <v>0.10638297872340426</v>
      </c>
      <c r="R18" s="2">
        <f t="shared" si="17"/>
        <v>0.1388888888888889</v>
      </c>
      <c r="S18" s="2">
        <f t="shared" si="17"/>
        <v>0.14482758620689656</v>
      </c>
      <c r="T18" s="2">
        <f t="shared" si="17"/>
        <v>0.27777777777777779</v>
      </c>
      <c r="U18" s="2">
        <f t="shared" ref="U18:U20" si="18">AVERAGE(Q18:T18)</f>
        <v>0.16696930789924186</v>
      </c>
      <c r="V18" s="2" cm="1">
        <f t="array" ref="V18">MMULT(Q11:T11,U17:U20)/U18</f>
        <v>4.0910641596025803</v>
      </c>
      <c r="AA18" s="47" t="s">
        <v>30</v>
      </c>
      <c r="AB18" s="2">
        <f t="shared" si="15"/>
        <v>3.5714251275508972E-2</v>
      </c>
      <c r="AC18" s="2">
        <f t="shared" si="15"/>
        <v>5.5555555555555552E-2</v>
      </c>
      <c r="AD18" s="2">
        <f t="shared" si="15"/>
        <v>4.4117650302768409E-2</v>
      </c>
      <c r="AE18" s="2">
        <f t="shared" si="15"/>
        <v>6.7567518261491419E-2</v>
      </c>
      <c r="AF18" s="2">
        <f>AVERAGE(AB18:AE18)</f>
        <v>5.0738743848831092E-2</v>
      </c>
      <c r="AG18" s="2" cm="1">
        <f t="array" ref="AG18">MMULT(AB11:AE11,AF17:AF20)/AF18</f>
        <v>4.0400613001027521</v>
      </c>
      <c r="AL18" s="47" t="s">
        <v>30</v>
      </c>
      <c r="AM18" s="2">
        <f t="shared" si="16"/>
        <v>2.777777777777778E-2</v>
      </c>
      <c r="AN18" s="2">
        <f t="shared" si="16"/>
        <v>0.05</v>
      </c>
      <c r="AO18" s="2">
        <f t="shared" si="16"/>
        <v>4.1095890410958902E-2</v>
      </c>
      <c r="AP18" s="2">
        <f t="shared" si="16"/>
        <v>7.2289156626506021E-2</v>
      </c>
      <c r="AQ18" s="2">
        <f>AVERAGE(AM18:AP18)</f>
        <v>4.7790706203810679E-2</v>
      </c>
      <c r="AR18" s="2" cm="1">
        <f t="array" ref="AR18">MMULT(AM11:AP11,AQ17:AQ20)/AQ18</f>
        <v>4.0416992713453865</v>
      </c>
      <c r="AU18" s="47"/>
      <c r="AV18" s="47" t="s">
        <v>169</v>
      </c>
      <c r="AW18" s="47" t="s">
        <v>170</v>
      </c>
      <c r="AX18" s="47" t="s">
        <v>159</v>
      </c>
      <c r="AY18" s="47" t="s">
        <v>160</v>
      </c>
      <c r="AZ18" s="47" t="s">
        <v>71</v>
      </c>
      <c r="BA18" s="47" t="s">
        <v>72</v>
      </c>
      <c r="BB18" s="2" t="s">
        <v>155</v>
      </c>
      <c r="BC18" s="2" t="s">
        <v>156</v>
      </c>
      <c r="BD18" s="2" t="s">
        <v>158</v>
      </c>
    </row>
    <row r="19" spans="15:56" x14ac:dyDescent="0.3">
      <c r="P19" s="47" t="s">
        <v>35</v>
      </c>
      <c r="Q19" s="2">
        <f t="shared" si="17"/>
        <v>0.63829787234042545</v>
      </c>
      <c r="R19" s="2">
        <f t="shared" si="17"/>
        <v>0.55555555555555558</v>
      </c>
      <c r="S19" s="2">
        <f t="shared" si="17"/>
        <v>0.57931034482758625</v>
      </c>
      <c r="T19" s="2">
        <f t="shared" si="17"/>
        <v>0.3888888888888889</v>
      </c>
      <c r="U19" s="2">
        <f t="shared" si="18"/>
        <v>0.54051316540311412</v>
      </c>
      <c r="V19" s="2" cm="1">
        <f t="array" ref="V19">MMULT(Q12:T12,U17:U20)/U19</f>
        <v>4.2452030208997087</v>
      </c>
      <c r="AA19" s="47" t="s">
        <v>35</v>
      </c>
      <c r="AB19" s="2">
        <f t="shared" si="15"/>
        <v>0.32142858290816367</v>
      </c>
      <c r="AC19" s="2">
        <f t="shared" si="15"/>
        <v>0.27777777777777779</v>
      </c>
      <c r="AD19" s="2">
        <f t="shared" si="15"/>
        <v>0.22058825151384204</v>
      </c>
      <c r="AE19" s="2">
        <f t="shared" si="15"/>
        <v>0.20270255478447427</v>
      </c>
      <c r="AF19" s="2">
        <f>AVERAGE(AB19:AE19)</f>
        <v>0.25562429174606444</v>
      </c>
      <c r="AG19" s="2" cm="1">
        <f t="array" ref="AG19">MMULT(AB12:AE12,AF17:AF20)/AF19</f>
        <v>4.1199937754195446</v>
      </c>
      <c r="AL19" s="47" t="s">
        <v>35</v>
      </c>
      <c r="AM19" s="2">
        <f t="shared" si="16"/>
        <v>0.41666666666666663</v>
      </c>
      <c r="AN19" s="2">
        <f t="shared" si="16"/>
        <v>0.35</v>
      </c>
      <c r="AO19" s="2">
        <f t="shared" si="16"/>
        <v>0.28767123287671231</v>
      </c>
      <c r="AP19" s="2">
        <f t="shared" si="16"/>
        <v>0.25301204819277107</v>
      </c>
      <c r="AQ19" s="2">
        <f>AVERAGE(AM19:AP19)</f>
        <v>0.32683748693403752</v>
      </c>
      <c r="AR19" s="2" cm="1">
        <f t="array" ref="AR19">MMULT(AM12:AP12,AQ17:AQ20)/AQ19</f>
        <v>4.2298302312630884</v>
      </c>
      <c r="AU19" s="47" t="s">
        <v>169</v>
      </c>
      <c r="AV19" s="2">
        <f>AV10/AV$16</f>
        <v>0.45454545454545459</v>
      </c>
      <c r="AW19" s="2">
        <f t="shared" ref="AW19:BA19" si="19">AW10/AW$16</f>
        <v>0.50847457627118631</v>
      </c>
      <c r="AX19" s="2">
        <f t="shared" si="19"/>
        <v>0.49999999999999989</v>
      </c>
      <c r="AY19" s="2">
        <f t="shared" si="19"/>
        <v>0.35294117647058826</v>
      </c>
      <c r="AZ19" s="2">
        <f t="shared" si="19"/>
        <v>0.35294117647058826</v>
      </c>
      <c r="BA19" s="2">
        <f t="shared" si="19"/>
        <v>0.35294117647058826</v>
      </c>
      <c r="BB19" s="2">
        <f>AVERAGE(AV19:BA19)</f>
        <v>0.42030726003806756</v>
      </c>
      <c r="BC19" s="2" cm="1">
        <f t="array" ref="BC19">MMULT(AV10:BA10,$BB$19:$BB$24)/BB19</f>
        <v>6.3169119629090522</v>
      </c>
      <c r="BD19" s="2">
        <f>(BC26-6)/5</f>
        <v>6.3382392581810443E-2</v>
      </c>
    </row>
    <row r="20" spans="15:56" x14ac:dyDescent="0.3">
      <c r="P20" s="47" t="s">
        <v>36</v>
      </c>
      <c r="Q20" s="2">
        <f t="shared" si="17"/>
        <v>4.2553191489361701E-2</v>
      </c>
      <c r="R20" s="2">
        <f t="shared" si="17"/>
        <v>2.777777777777778E-2</v>
      </c>
      <c r="S20" s="2">
        <f t="shared" si="17"/>
        <v>8.2758620689655171E-2</v>
      </c>
      <c r="T20" s="2">
        <f t="shared" si="17"/>
        <v>5.5555555555555552E-2</v>
      </c>
      <c r="U20" s="2">
        <f t="shared" si="18"/>
        <v>5.2161286378087555E-2</v>
      </c>
      <c r="V20" s="2" cm="1">
        <f t="array" ref="V20">MMULT(Q13:T13,U17:U20)/U20</f>
        <v>4.0421273543702192</v>
      </c>
      <c r="AA20" s="47" t="s">
        <v>36</v>
      </c>
      <c r="AB20" s="2">
        <f t="shared" si="15"/>
        <v>0.53571430484693949</v>
      </c>
      <c r="AC20" s="2">
        <f t="shared" si="15"/>
        <v>0.5</v>
      </c>
      <c r="AD20" s="2">
        <f t="shared" si="15"/>
        <v>0.66176475454152606</v>
      </c>
      <c r="AE20" s="2">
        <f t="shared" si="15"/>
        <v>0.6081082724616953</v>
      </c>
      <c r="AF20" s="2">
        <f>AVERAGE(AB20:AE20)</f>
        <v>0.57639683296254018</v>
      </c>
      <c r="AG20" s="2" cm="1">
        <f t="array" ref="AG20">MMULT(AB13:AE13,AF17:AF20)/AF20</f>
        <v>4.139715771491943</v>
      </c>
      <c r="AL20" s="47" t="s">
        <v>36</v>
      </c>
      <c r="AM20" s="2">
        <f t="shared" si="16"/>
        <v>0.41666666666666663</v>
      </c>
      <c r="AN20" s="2">
        <f t="shared" si="16"/>
        <v>0.35</v>
      </c>
      <c r="AO20" s="2">
        <f t="shared" si="16"/>
        <v>0.57534246575342463</v>
      </c>
      <c r="AP20" s="2">
        <f t="shared" si="16"/>
        <v>0.50602409638554213</v>
      </c>
      <c r="AQ20" s="2">
        <f>AVERAGE(AM20:AP20)</f>
        <v>0.4620083072014084</v>
      </c>
      <c r="AR20" s="2" cm="1">
        <f t="array" ref="AR20">MMULT(AM13:AP13,AQ17:AQ20)/AQ20</f>
        <v>4.1997269166688991</v>
      </c>
      <c r="AU20" s="47" t="s">
        <v>170</v>
      </c>
      <c r="AV20" s="2">
        <f t="shared" ref="AV20:BA24" si="20">AV11/AV$16</f>
        <v>0.22727272727272729</v>
      </c>
      <c r="AW20" s="2">
        <f t="shared" si="20"/>
        <v>0.25423728813559315</v>
      </c>
      <c r="AX20" s="2">
        <f t="shared" si="20"/>
        <v>0.29999999999999993</v>
      </c>
      <c r="AY20" s="2">
        <f t="shared" si="20"/>
        <v>0.29411764705882354</v>
      </c>
      <c r="AZ20" s="2">
        <f t="shared" si="20"/>
        <v>0.29411764705882354</v>
      </c>
      <c r="BA20" s="2">
        <f t="shared" si="20"/>
        <v>0.29411764705882354</v>
      </c>
      <c r="BB20" s="2">
        <f t="shared" ref="BB20:BB24" si="21">AVERAGE(AV20:BA20)</f>
        <v>0.27731049276413183</v>
      </c>
      <c r="BC20" s="2" cm="1">
        <f t="array" ref="BC20">MMULT(AV11:BA11,$BB$19:$BB$24)/BB20</f>
        <v>6.2421720940873984</v>
      </c>
    </row>
    <row r="21" spans="15:56" x14ac:dyDescent="0.3">
      <c r="P21" s="47" t="s">
        <v>154</v>
      </c>
      <c r="Q21" s="14">
        <f>SUM(Q17:Q20)</f>
        <v>0.99999999999999989</v>
      </c>
      <c r="R21" s="14">
        <f t="shared" ref="R21:U21" si="22">SUM(R17:R20)</f>
        <v>1</v>
      </c>
      <c r="S21" s="14">
        <f t="shared" si="22"/>
        <v>1</v>
      </c>
      <c r="T21" s="14">
        <f t="shared" si="22"/>
        <v>1</v>
      </c>
      <c r="U21" s="14">
        <f t="shared" si="22"/>
        <v>1</v>
      </c>
      <c r="V21" s="2"/>
      <c r="AA21" s="47" t="s">
        <v>154</v>
      </c>
      <c r="AB21" s="14">
        <f>SUM(AB17:AB20)</f>
        <v>1</v>
      </c>
      <c r="AC21" s="14">
        <f>SUM(AC17:AC20)</f>
        <v>1</v>
      </c>
      <c r="AD21" s="14">
        <f>SUM(AD17:AD20)</f>
        <v>1</v>
      </c>
      <c r="AE21" s="14">
        <f>SUM(AE17:AE20)</f>
        <v>1</v>
      </c>
      <c r="AF21" s="14">
        <f>SUM(AF17:AF20)</f>
        <v>1</v>
      </c>
      <c r="AG21" s="2"/>
      <c r="AL21" s="47" t="s">
        <v>154</v>
      </c>
      <c r="AM21" s="14">
        <f>SUM(AM17:AM20)</f>
        <v>0.99999999999999989</v>
      </c>
      <c r="AN21" s="14">
        <f>SUM(AN17:AN20)</f>
        <v>0.99999999999999989</v>
      </c>
      <c r="AO21" s="14">
        <f>SUM(AO17:AO20)</f>
        <v>1</v>
      </c>
      <c r="AP21" s="14">
        <f>SUM(AP17:AP20)</f>
        <v>1</v>
      </c>
      <c r="AQ21" s="14">
        <f>SUM(AQ17:AQ20)</f>
        <v>1</v>
      </c>
      <c r="AR21" s="2"/>
      <c r="AU21" s="47" t="s">
        <v>159</v>
      </c>
      <c r="AV21" s="2">
        <f t="shared" si="20"/>
        <v>9.0909090909090925E-2</v>
      </c>
      <c r="AW21" s="2">
        <f t="shared" si="20"/>
        <v>8.4745762711864389E-2</v>
      </c>
      <c r="AX21" s="2">
        <f t="shared" si="20"/>
        <v>9.9999999999999978E-2</v>
      </c>
      <c r="AY21" s="2">
        <f t="shared" si="20"/>
        <v>0.17647058823529413</v>
      </c>
      <c r="AZ21" s="2">
        <f t="shared" si="20"/>
        <v>0.17647058823529413</v>
      </c>
      <c r="BA21" s="2">
        <f t="shared" si="20"/>
        <v>0.17647058823529413</v>
      </c>
      <c r="BB21" s="2">
        <f t="shared" si="21"/>
        <v>0.13417776972113962</v>
      </c>
      <c r="BC21" s="2" cm="1">
        <f t="array" ref="BC21">MMULT(AV12:BA12,$BB$19:$BB$24)/BB21</f>
        <v>6.0761889750777751</v>
      </c>
    </row>
    <row r="22" spans="15:56" x14ac:dyDescent="0.3">
      <c r="U22" s="2" t="s">
        <v>157</v>
      </c>
      <c r="V22" s="2">
        <f>MAX(V17:V20)</f>
        <v>4.2452030208997087</v>
      </c>
      <c r="AF22" s="2" t="s">
        <v>157</v>
      </c>
      <c r="AG22" s="2">
        <f>MAX(AG17:AG20)</f>
        <v>4.139715771491943</v>
      </c>
      <c r="AQ22" s="2" t="s">
        <v>157</v>
      </c>
      <c r="AR22" s="2">
        <f>MAX(AR17:AR20)</f>
        <v>4.2298302312630884</v>
      </c>
      <c r="AU22" s="47" t="s">
        <v>160</v>
      </c>
      <c r="AV22" s="2">
        <f t="shared" si="20"/>
        <v>7.575757575757576E-2</v>
      </c>
      <c r="AW22" s="2">
        <f t="shared" si="20"/>
        <v>5.084745762711864E-2</v>
      </c>
      <c r="AX22" s="2">
        <f t="shared" si="20"/>
        <v>3.3333333333333326E-2</v>
      </c>
      <c r="AY22" s="2">
        <f t="shared" si="20"/>
        <v>5.8823529411764705E-2</v>
      </c>
      <c r="AZ22" s="2">
        <f t="shared" si="20"/>
        <v>5.8823529411764705E-2</v>
      </c>
      <c r="BA22" s="2">
        <f t="shared" si="20"/>
        <v>5.8823529411764705E-2</v>
      </c>
      <c r="BB22" s="2">
        <f t="shared" si="21"/>
        <v>5.6068159158886972E-2</v>
      </c>
      <c r="BC22" s="2" cm="1">
        <f t="array" ref="BC22">MMULT(AV13:BA13,$BB$19:$BB$24)/BB22</f>
        <v>6.0362907281675469</v>
      </c>
    </row>
    <row r="23" spans="15:56" x14ac:dyDescent="0.3">
      <c r="AU23" s="47" t="s">
        <v>71</v>
      </c>
      <c r="AV23" s="2">
        <f t="shared" si="20"/>
        <v>7.575757575757576E-2</v>
      </c>
      <c r="AW23" s="2">
        <f t="shared" si="20"/>
        <v>5.084745762711864E-2</v>
      </c>
      <c r="AX23" s="2">
        <f t="shared" si="20"/>
        <v>3.3333333333333326E-2</v>
      </c>
      <c r="AY23" s="2">
        <f t="shared" si="20"/>
        <v>5.8823529411764705E-2</v>
      </c>
      <c r="AZ23" s="2">
        <f t="shared" si="20"/>
        <v>5.8823529411764705E-2</v>
      </c>
      <c r="BA23" s="2">
        <f t="shared" si="20"/>
        <v>5.8823529411764705E-2</v>
      </c>
      <c r="BB23" s="2">
        <f t="shared" si="21"/>
        <v>5.6068159158886972E-2</v>
      </c>
      <c r="BC23" s="2" cm="1">
        <f t="array" ref="BC23">MMULT(AV14:BA14,$BB$19:$BB$24)/BB23</f>
        <v>6.0362907281675469</v>
      </c>
    </row>
    <row r="24" spans="15:56" x14ac:dyDescent="0.3">
      <c r="O24" t="s">
        <v>72</v>
      </c>
      <c r="P24" s="44" t="s">
        <v>75</v>
      </c>
      <c r="Z24" t="s">
        <v>160</v>
      </c>
      <c r="AA24" s="54" t="s">
        <v>180</v>
      </c>
      <c r="AK24" t="s">
        <v>170</v>
      </c>
      <c r="AL24" s="44" t="s">
        <v>207</v>
      </c>
      <c r="AU24" s="47" t="s">
        <v>72</v>
      </c>
      <c r="AV24" s="2">
        <f t="shared" si="20"/>
        <v>7.575757575757576E-2</v>
      </c>
      <c r="AW24" s="2">
        <f t="shared" si="20"/>
        <v>5.084745762711864E-2</v>
      </c>
      <c r="AX24" s="2">
        <f t="shared" si="20"/>
        <v>3.3333333333333326E-2</v>
      </c>
      <c r="AY24" s="2">
        <f t="shared" si="20"/>
        <v>5.8823529411764705E-2</v>
      </c>
      <c r="AZ24" s="2">
        <f t="shared" si="20"/>
        <v>5.8823529411764705E-2</v>
      </c>
      <c r="BA24" s="2">
        <f t="shared" si="20"/>
        <v>5.8823529411764705E-2</v>
      </c>
      <c r="BB24" s="2">
        <f t="shared" si="21"/>
        <v>5.6068159158886972E-2</v>
      </c>
      <c r="BC24" s="2" cm="1">
        <f t="array" ref="BC24">MMULT(AV15:BA15,$BB$19:$BB$24)/BB24</f>
        <v>6.0362907281675469</v>
      </c>
    </row>
    <row r="25" spans="15:56" x14ac:dyDescent="0.3">
      <c r="P25" s="44"/>
      <c r="AA25" s="54"/>
      <c r="AL25" s="44"/>
      <c r="AU25" s="47" t="s">
        <v>154</v>
      </c>
      <c r="AV25" s="14">
        <f>SUM(AV19:AV24)</f>
        <v>1.0000000000000002</v>
      </c>
      <c r="AW25" s="14">
        <f t="shared" ref="AW25" si="23">SUM(AW19:AW24)</f>
        <v>0.99999999999999967</v>
      </c>
      <c r="AX25" s="14">
        <f t="shared" ref="AX25" si="24">SUM(AX19:AX24)</f>
        <v>0.99999999999999978</v>
      </c>
      <c r="AY25" s="14">
        <f t="shared" ref="AY25" si="25">SUM(AY19:AY24)</f>
        <v>1</v>
      </c>
      <c r="AZ25" s="14">
        <f t="shared" ref="AZ25" si="26">SUM(AZ19:AZ24)</f>
        <v>1</v>
      </c>
      <c r="BA25" s="14">
        <f t="shared" ref="BA25:BB25" si="27">SUM(BA19:BA24)</f>
        <v>1</v>
      </c>
      <c r="BB25" s="14">
        <f t="shared" si="27"/>
        <v>0.99999999999999989</v>
      </c>
      <c r="BC25" s="2"/>
    </row>
    <row r="26" spans="15:56" x14ac:dyDescent="0.3">
      <c r="P26" s="59" t="s">
        <v>227</v>
      </c>
      <c r="Q26" s="60">
        <f>1-(Q8+AB8+AB26+AM8+AM26)</f>
        <v>0.10000000000000009</v>
      </c>
      <c r="AA26" s="59" t="s">
        <v>227</v>
      </c>
      <c r="AB26" s="60">
        <v>0.1</v>
      </c>
      <c r="AL26" s="59" t="s">
        <v>227</v>
      </c>
      <c r="AM26" s="60">
        <v>0.25</v>
      </c>
      <c r="BB26" s="2" t="s">
        <v>157</v>
      </c>
      <c r="BC26" s="2">
        <f>MAX(BC19:BC24)</f>
        <v>6.3169119629090522</v>
      </c>
    </row>
    <row r="27" spans="15:56" x14ac:dyDescent="0.3">
      <c r="P27" s="47"/>
      <c r="Q27" s="47" t="s">
        <v>27</v>
      </c>
      <c r="R27" s="47" t="s">
        <v>30</v>
      </c>
      <c r="S27" s="47" t="s">
        <v>35</v>
      </c>
      <c r="T27" s="47" t="s">
        <v>36</v>
      </c>
      <c r="U27" s="2"/>
      <c r="V27" s="47" t="s">
        <v>226</v>
      </c>
      <c r="AA27" s="47"/>
      <c r="AB27" s="47" t="s">
        <v>27</v>
      </c>
      <c r="AC27" s="47" t="s">
        <v>30</v>
      </c>
      <c r="AD27" s="47" t="s">
        <v>35</v>
      </c>
      <c r="AE27" s="47" t="s">
        <v>36</v>
      </c>
      <c r="AF27" s="2"/>
      <c r="AG27" s="47" t="s">
        <v>226</v>
      </c>
      <c r="AL27" s="47"/>
      <c r="AM27" s="47" t="s">
        <v>27</v>
      </c>
      <c r="AN27" s="47" t="s">
        <v>30</v>
      </c>
      <c r="AO27" s="47" t="s">
        <v>35</v>
      </c>
      <c r="AP27" s="47" t="s">
        <v>36</v>
      </c>
      <c r="AQ27" s="2"/>
      <c r="AR27" s="47" t="s">
        <v>226</v>
      </c>
    </row>
    <row r="28" spans="15:56" x14ac:dyDescent="0.3">
      <c r="P28" s="47" t="s">
        <v>27</v>
      </c>
      <c r="Q28" s="2">
        <f>'MCDA - Social'!J12</f>
        <v>1</v>
      </c>
      <c r="R28" s="2">
        <f>'MCDA - Social'!K12</f>
        <v>2</v>
      </c>
      <c r="S28" s="2">
        <f>'MCDA - Social'!L12</f>
        <v>3</v>
      </c>
      <c r="T28" s="2">
        <f>'MCDA - Social'!M12</f>
        <v>5</v>
      </c>
      <c r="U28" s="2">
        <f>(Q28*R28*S28*T28)^(1/3)</f>
        <v>3.1072325059538586</v>
      </c>
      <c r="V28" s="2">
        <f>U28/SUM($U$28:$U$31)</f>
        <v>0.51416558256392764</v>
      </c>
      <c r="AA28" s="47" t="s">
        <v>27</v>
      </c>
      <c r="AB28" s="61">
        <v>1</v>
      </c>
      <c r="AC28" s="61">
        <v>7</v>
      </c>
      <c r="AD28" s="61">
        <v>3</v>
      </c>
      <c r="AE28" s="61">
        <v>5</v>
      </c>
      <c r="AF28" s="2">
        <f>(AB28*AC28*AD28*AE28)^(1/3)</f>
        <v>4.7176939803165325</v>
      </c>
      <c r="AG28" s="2">
        <f>AF28/SUM($AF$28:$AF$31)</f>
        <v>0.67374603228782204</v>
      </c>
      <c r="AL28" s="47" t="s">
        <v>27</v>
      </c>
      <c r="AM28" s="61">
        <f>'MCDA - Economic'!W53</f>
        <v>1</v>
      </c>
      <c r="AN28" s="61">
        <f>'MCDA - Economic'!X53</f>
        <v>4</v>
      </c>
      <c r="AO28" s="61">
        <f>'MCDA - Economic'!Y53</f>
        <v>0.25</v>
      </c>
      <c r="AP28" s="61">
        <f>'MCDA - Economic'!Z53</f>
        <v>0.33333333333333331</v>
      </c>
      <c r="AQ28" s="2">
        <f>(AM28*AN28*AO28*AP28)^(1/3)</f>
        <v>0.69336127435063466</v>
      </c>
      <c r="AR28" s="2">
        <f>AQ28/SUM($AQ$28:$AQ$31)</f>
        <v>0.10225756760175583</v>
      </c>
    </row>
    <row r="29" spans="15:56" x14ac:dyDescent="0.3">
      <c r="P29" s="47" t="s">
        <v>30</v>
      </c>
      <c r="Q29" s="2">
        <f>'MCDA - Social'!J13</f>
        <v>0.5</v>
      </c>
      <c r="R29" s="2">
        <f>'MCDA - Social'!K13</f>
        <v>1</v>
      </c>
      <c r="S29" s="2">
        <f>'MCDA - Social'!L13</f>
        <v>3</v>
      </c>
      <c r="T29" s="2">
        <f>'MCDA - Social'!M13</f>
        <v>5</v>
      </c>
      <c r="U29" s="2">
        <f t="shared" ref="U29:U31" si="28">(Q29*R29*S29*T29)^(1/3)</f>
        <v>1.9574338205844317</v>
      </c>
      <c r="V29" s="2">
        <f t="shared" ref="V29:V31" si="29">U29/SUM($U$28:$U$31)</f>
        <v>0.32390402030187643</v>
      </c>
      <c r="AA29" s="47" t="s">
        <v>30</v>
      </c>
      <c r="AB29" s="61">
        <v>0.14285700000000001</v>
      </c>
      <c r="AC29" s="61">
        <v>1</v>
      </c>
      <c r="AD29" s="61">
        <v>0.25</v>
      </c>
      <c r="AE29" s="61">
        <v>0.33333299999999999</v>
      </c>
      <c r="AF29" s="2">
        <f t="shared" ref="AF29:AF31" si="30">(AB29*AC29*AD29*AE29)^(1/3)</f>
        <v>0.22833541797440829</v>
      </c>
      <c r="AG29" s="2">
        <f t="shared" ref="AG29:AG31" si="31">AF29/SUM($AF$28:$AF$31)</f>
        <v>3.2609169338431138E-2</v>
      </c>
      <c r="AL29" s="47" t="s">
        <v>30</v>
      </c>
      <c r="AM29" s="61">
        <f>'MCDA - Economic'!W54</f>
        <v>0.25</v>
      </c>
      <c r="AN29" s="61">
        <f>'MCDA - Economic'!X54</f>
        <v>1</v>
      </c>
      <c r="AO29" s="61">
        <f>'MCDA - Economic'!Y54</f>
        <v>0.14285714285714285</v>
      </c>
      <c r="AP29" s="61">
        <f>'MCDA - Economic'!Z54</f>
        <v>0.16666666666666666</v>
      </c>
      <c r="AQ29" s="2">
        <f t="shared" ref="AQ29:AQ31" si="32">(AM29*AN29*AO29*AP29)^(1/3)</f>
        <v>0.18123006216714871</v>
      </c>
      <c r="AR29" s="2">
        <f t="shared" ref="AR29:AR31" si="33">AQ29/SUM($AQ$28:$AQ$31)</f>
        <v>2.6727978644154656E-2</v>
      </c>
    </row>
    <row r="30" spans="15:56" x14ac:dyDescent="0.3">
      <c r="P30" s="47" t="s">
        <v>35</v>
      </c>
      <c r="Q30" s="2">
        <f>'MCDA - Social'!J14</f>
        <v>0.33333333333333331</v>
      </c>
      <c r="R30" s="2">
        <f>'MCDA - Social'!K14</f>
        <v>0.33333333333333331</v>
      </c>
      <c r="S30" s="2">
        <f>'MCDA - Social'!L14</f>
        <v>1</v>
      </c>
      <c r="T30" s="2">
        <f>'MCDA - Social'!M14</f>
        <v>4</v>
      </c>
      <c r="U30" s="2">
        <f t="shared" si="28"/>
        <v>0.76314282836888792</v>
      </c>
      <c r="V30" s="2">
        <f t="shared" si="29"/>
        <v>0.1262801467788196</v>
      </c>
      <c r="AA30" s="47" t="s">
        <v>35</v>
      </c>
      <c r="AB30" s="61">
        <v>0.33333299999999999</v>
      </c>
      <c r="AC30" s="61">
        <v>4</v>
      </c>
      <c r="AD30" s="61">
        <v>1</v>
      </c>
      <c r="AE30" s="61">
        <v>2</v>
      </c>
      <c r="AF30" s="2">
        <f t="shared" si="30"/>
        <v>1.3867220864602656</v>
      </c>
      <c r="AG30" s="2">
        <f t="shared" si="31"/>
        <v>0.19804135400401862</v>
      </c>
      <c r="AL30" s="47" t="s">
        <v>35</v>
      </c>
      <c r="AM30" s="61">
        <f>'MCDA - Economic'!W55</f>
        <v>4</v>
      </c>
      <c r="AN30" s="61">
        <f>'MCDA - Economic'!X55</f>
        <v>7</v>
      </c>
      <c r="AO30" s="61">
        <f>'MCDA - Economic'!Y55</f>
        <v>1</v>
      </c>
      <c r="AP30" s="61">
        <f>'MCDA - Economic'!Z55</f>
        <v>2</v>
      </c>
      <c r="AQ30" s="2">
        <f t="shared" si="32"/>
        <v>3.8258623655447783</v>
      </c>
      <c r="AR30" s="2">
        <f t="shared" si="33"/>
        <v>0.56424175094882201</v>
      </c>
    </row>
    <row r="31" spans="15:56" x14ac:dyDescent="0.3">
      <c r="P31" s="47" t="s">
        <v>36</v>
      </c>
      <c r="Q31" s="2">
        <f>'MCDA - Social'!J15</f>
        <v>0.2</v>
      </c>
      <c r="R31" s="2">
        <f>'MCDA - Social'!K15</f>
        <v>0.2</v>
      </c>
      <c r="S31" s="2">
        <f>'MCDA - Social'!L15</f>
        <v>0.25</v>
      </c>
      <c r="T31" s="2">
        <f>'MCDA - Social'!M15</f>
        <v>1</v>
      </c>
      <c r="U31" s="2">
        <f t="shared" si="28"/>
        <v>0.21544346900318845</v>
      </c>
      <c r="V31" s="2">
        <f t="shared" si="29"/>
        <v>3.5650250355376153E-2</v>
      </c>
      <c r="AA31" s="47" t="s">
        <v>36</v>
      </c>
      <c r="AB31" s="61">
        <v>0.2</v>
      </c>
      <c r="AC31" s="61">
        <v>3</v>
      </c>
      <c r="AD31" s="61">
        <v>0.5</v>
      </c>
      <c r="AE31" s="61">
        <v>1</v>
      </c>
      <c r="AF31" s="2">
        <f t="shared" si="30"/>
        <v>0.66943295008216952</v>
      </c>
      <c r="AG31" s="2">
        <f t="shared" si="31"/>
        <v>9.5603444369728216E-2</v>
      </c>
      <c r="AL31" s="47" t="s">
        <v>36</v>
      </c>
      <c r="AM31" s="61">
        <f>'MCDA - Economic'!W56</f>
        <v>3</v>
      </c>
      <c r="AN31" s="61">
        <f>'MCDA - Economic'!X56</f>
        <v>6</v>
      </c>
      <c r="AO31" s="61">
        <f>'MCDA - Economic'!Y56</f>
        <v>0.5</v>
      </c>
      <c r="AP31" s="61">
        <f>'MCDA - Economic'!Z56</f>
        <v>1</v>
      </c>
      <c r="AQ31" s="2">
        <f t="shared" si="32"/>
        <v>2.0800838230519041</v>
      </c>
      <c r="AR31" s="2">
        <f t="shared" si="33"/>
        <v>0.30677270280526753</v>
      </c>
    </row>
    <row r="32" spans="15:56" x14ac:dyDescent="0.3">
      <c r="P32" s="47" t="s">
        <v>154</v>
      </c>
      <c r="Q32" s="14">
        <f>SUM(Q28:Q31)</f>
        <v>2.0333333333333332</v>
      </c>
      <c r="R32" s="14">
        <f t="shared" ref="R32:T32" si="34">SUM(R28:R31)</f>
        <v>3.5333333333333337</v>
      </c>
      <c r="S32" s="14">
        <f t="shared" si="34"/>
        <v>7.25</v>
      </c>
      <c r="T32" s="14">
        <f t="shared" si="34"/>
        <v>15</v>
      </c>
      <c r="U32" s="14"/>
      <c r="V32" s="14">
        <f t="shared" ref="V32" si="35">SUM(V28:V31)</f>
        <v>0.99999999999999989</v>
      </c>
      <c r="AA32" s="47" t="s">
        <v>154</v>
      </c>
      <c r="AB32" s="14">
        <f>SUM(AB28:AB31)</f>
        <v>1.6761899999999998</v>
      </c>
      <c r="AC32" s="14">
        <f>SUM(AC28:AC31)</f>
        <v>15</v>
      </c>
      <c r="AD32" s="14">
        <f>SUM(AD28:AD31)</f>
        <v>4.75</v>
      </c>
      <c r="AE32" s="14">
        <f>SUM(AE28:AE31)</f>
        <v>8.3333329999999997</v>
      </c>
      <c r="AF32" s="14"/>
      <c r="AG32" s="14">
        <f t="shared" ref="AG32" si="36">SUM(AG28:AG31)</f>
        <v>1</v>
      </c>
      <c r="AL32" s="47" t="s">
        <v>154</v>
      </c>
      <c r="AM32" s="14">
        <f>SUM(AM28:AM31)</f>
        <v>8.25</v>
      </c>
      <c r="AN32" s="14">
        <f>SUM(AN28:AN31)</f>
        <v>18</v>
      </c>
      <c r="AO32" s="14">
        <f>SUM(AO28:AO31)</f>
        <v>1.8928571428571428</v>
      </c>
      <c r="AP32" s="14">
        <f>SUM(AP28:AP31)</f>
        <v>3.5</v>
      </c>
      <c r="AQ32" s="14"/>
      <c r="AR32" s="14">
        <f t="shared" ref="AR32" si="37">SUM(AR28:AR31)</f>
        <v>1</v>
      </c>
    </row>
    <row r="34" spans="16:45" x14ac:dyDescent="0.3">
      <c r="P34" s="47"/>
      <c r="Q34" s="47" t="s">
        <v>27</v>
      </c>
      <c r="R34" s="47" t="s">
        <v>30</v>
      </c>
      <c r="S34" s="47" t="s">
        <v>35</v>
      </c>
      <c r="T34" s="47" t="s">
        <v>36</v>
      </c>
      <c r="U34" s="2" t="s">
        <v>155</v>
      </c>
      <c r="V34" s="2" t="s">
        <v>156</v>
      </c>
      <c r="W34" s="2" t="s">
        <v>158</v>
      </c>
      <c r="AA34" s="47"/>
      <c r="AB34" s="47" t="s">
        <v>27</v>
      </c>
      <c r="AC34" s="47" t="s">
        <v>30</v>
      </c>
      <c r="AD34" s="47" t="s">
        <v>35</v>
      </c>
      <c r="AE34" s="47" t="s">
        <v>36</v>
      </c>
      <c r="AF34" s="2" t="s">
        <v>155</v>
      </c>
      <c r="AG34" s="2" t="s">
        <v>156</v>
      </c>
      <c r="AH34" s="2" t="s">
        <v>158</v>
      </c>
      <c r="AL34" s="47"/>
      <c r="AM34" s="47" t="s">
        <v>27</v>
      </c>
      <c r="AN34" s="47" t="s">
        <v>30</v>
      </c>
      <c r="AO34" s="47" t="s">
        <v>35</v>
      </c>
      <c r="AP34" s="47" t="s">
        <v>36</v>
      </c>
      <c r="AQ34" s="2" t="s">
        <v>155</v>
      </c>
      <c r="AR34" s="2" t="s">
        <v>156</v>
      </c>
      <c r="AS34" s="2" t="s">
        <v>158</v>
      </c>
    </row>
    <row r="35" spans="16:45" x14ac:dyDescent="0.3">
      <c r="P35" s="47" t="s">
        <v>27</v>
      </c>
      <c r="Q35" s="2">
        <f>Q28/Q$32</f>
        <v>0.49180327868852464</v>
      </c>
      <c r="R35" s="2">
        <f t="shared" ref="R35:T35" si="38">R28/R$32</f>
        <v>0.56603773584905659</v>
      </c>
      <c r="S35" s="2">
        <f t="shared" si="38"/>
        <v>0.41379310344827586</v>
      </c>
      <c r="T35" s="2">
        <f t="shared" si="38"/>
        <v>0.33333333333333331</v>
      </c>
      <c r="U35" s="2">
        <f>AVERAGE(Q35:T35)</f>
        <v>0.45124186282979756</v>
      </c>
      <c r="V35" s="2" cm="1">
        <f t="array" ref="V35">MMULT(Q28:T28,$U$35:$U$38)/U35</f>
        <v>4.2251431497877618</v>
      </c>
      <c r="W35" s="2">
        <f>(V40-4)/3</f>
        <v>8.9737403006282968E-2</v>
      </c>
      <c r="AA35" s="47" t="s">
        <v>27</v>
      </c>
      <c r="AB35" s="2">
        <f t="shared" ref="AB35:AE38" si="39">AB28/AB$32</f>
        <v>0.59659107857701099</v>
      </c>
      <c r="AC35" s="2">
        <f t="shared" si="39"/>
        <v>0.46666666666666667</v>
      </c>
      <c r="AD35" s="2">
        <f t="shared" si="39"/>
        <v>0.63157894736842102</v>
      </c>
      <c r="AE35" s="2">
        <f t="shared" si="39"/>
        <v>0.60000002400000096</v>
      </c>
      <c r="AF35" s="2">
        <f>AVERAGE(AB35:AE35)</f>
        <v>0.57370917915302488</v>
      </c>
      <c r="AG35" s="2" cm="1">
        <f t="array" ref="AG35">MMULT(AB28:AE28,AF35:AF38)/AF35</f>
        <v>4.1299631170679643</v>
      </c>
      <c r="AH35" s="2">
        <f>(AG40-4)/3</f>
        <v>4.3321039022654752E-2</v>
      </c>
      <c r="AL35" s="47" t="s">
        <v>27</v>
      </c>
      <c r="AM35" s="2">
        <f t="shared" ref="AM35:AP38" si="40">AM28/AM$32</f>
        <v>0.12121212121212122</v>
      </c>
      <c r="AN35" s="2">
        <f t="shared" si="40"/>
        <v>0.22222222222222221</v>
      </c>
      <c r="AO35" s="2">
        <f t="shared" si="40"/>
        <v>0.13207547169811321</v>
      </c>
      <c r="AP35" s="2">
        <f t="shared" si="40"/>
        <v>9.5238095238095233E-2</v>
      </c>
      <c r="AQ35" s="2">
        <f>AVERAGE(AM35:AP35)</f>
        <v>0.14268697759263796</v>
      </c>
      <c r="AR35" s="2" cm="1">
        <f t="array" ref="AR35">MMULT(AM28:AP28,AQ35:AQ38)/AQ35</f>
        <v>4.0569992367504657</v>
      </c>
      <c r="AS35" s="2">
        <f>(AR40-4)/3</f>
        <v>5.6721985660734241E-2</v>
      </c>
    </row>
    <row r="36" spans="16:45" x14ac:dyDescent="0.3">
      <c r="P36" s="47" t="s">
        <v>30</v>
      </c>
      <c r="Q36" s="2">
        <f t="shared" ref="Q36:T38" si="41">Q29/Q$32</f>
        <v>0.24590163934426232</v>
      </c>
      <c r="R36" s="2">
        <f t="shared" si="41"/>
        <v>0.28301886792452829</v>
      </c>
      <c r="S36" s="2">
        <f t="shared" si="41"/>
        <v>0.41379310344827586</v>
      </c>
      <c r="T36" s="2">
        <f t="shared" si="41"/>
        <v>0.33333333333333331</v>
      </c>
      <c r="U36" s="2">
        <f t="shared" ref="U36:U38" si="42">AVERAGE(Q36:T36)</f>
        <v>0.31901173601259991</v>
      </c>
      <c r="V36" s="2" cm="1">
        <f t="array" ref="V36">MMULT(Q29:T29,$U$35:$U$38)/U36</f>
        <v>4.2692122090188489</v>
      </c>
      <c r="AA36" s="47" t="s">
        <v>30</v>
      </c>
      <c r="AB36" s="2">
        <f t="shared" si="39"/>
        <v>8.5227211712276069E-2</v>
      </c>
      <c r="AC36" s="2">
        <f t="shared" si="39"/>
        <v>6.6666666666666666E-2</v>
      </c>
      <c r="AD36" s="2">
        <f t="shared" si="39"/>
        <v>5.2631578947368418E-2</v>
      </c>
      <c r="AE36" s="2">
        <f t="shared" si="39"/>
        <v>3.9999961599998461E-2</v>
      </c>
      <c r="AF36" s="2">
        <f>AVERAGE(AB36:AE36)</f>
        <v>6.1131354731577409E-2</v>
      </c>
      <c r="AG36" s="2" cm="1">
        <f t="array" ref="AG36">MMULT(AB29:AE29,AF35:AF38)/AF36</f>
        <v>4.0196229013312594</v>
      </c>
      <c r="AL36" s="47" t="s">
        <v>30</v>
      </c>
      <c r="AM36" s="2">
        <f t="shared" si="40"/>
        <v>3.0303030303030304E-2</v>
      </c>
      <c r="AN36" s="2">
        <f t="shared" si="40"/>
        <v>5.5555555555555552E-2</v>
      </c>
      <c r="AO36" s="2">
        <f t="shared" si="40"/>
        <v>7.5471698113207544E-2</v>
      </c>
      <c r="AP36" s="2">
        <f t="shared" si="40"/>
        <v>4.7619047619047616E-2</v>
      </c>
      <c r="AQ36" s="2">
        <f>AVERAGE(AM36:AP36)</f>
        <v>5.2237332897710251E-2</v>
      </c>
      <c r="AR36" s="2" cm="1">
        <f t="array" ref="AR36">MMULT(AM29:AP29,AQ35:AQ38)/AQ36</f>
        <v>4.026651340710889</v>
      </c>
    </row>
    <row r="37" spans="16:45" x14ac:dyDescent="0.3">
      <c r="P37" s="47" t="s">
        <v>35</v>
      </c>
      <c r="Q37" s="2">
        <f t="shared" si="41"/>
        <v>0.16393442622950818</v>
      </c>
      <c r="R37" s="2">
        <f t="shared" si="41"/>
        <v>9.4339622641509427E-2</v>
      </c>
      <c r="S37" s="2">
        <f t="shared" si="41"/>
        <v>0.13793103448275862</v>
      </c>
      <c r="T37" s="2">
        <f t="shared" si="41"/>
        <v>0.26666666666666666</v>
      </c>
      <c r="U37" s="2">
        <f t="shared" si="42"/>
        <v>0.16571793750511071</v>
      </c>
      <c r="V37" s="2" cm="1">
        <f t="array" ref="V37">MMULT(Q30:T30,$U$35:$U$38)/U37</f>
        <v>4.0948071279748017</v>
      </c>
      <c r="AA37" s="47" t="s">
        <v>35</v>
      </c>
      <c r="AB37" s="2">
        <f t="shared" si="39"/>
        <v>0.19886349399531081</v>
      </c>
      <c r="AC37" s="2">
        <f t="shared" si="39"/>
        <v>0.26666666666666666</v>
      </c>
      <c r="AD37" s="2">
        <f t="shared" si="39"/>
        <v>0.21052631578947367</v>
      </c>
      <c r="AE37" s="2">
        <f t="shared" si="39"/>
        <v>0.2400000096000004</v>
      </c>
      <c r="AF37" s="2">
        <f>AVERAGE(AB37:AE37)</f>
        <v>0.22901412151286288</v>
      </c>
      <c r="AG37" s="2" cm="1">
        <f t="array" ref="AG37">MMULT(AB30:AE30,AF35:AF38)/AF37</f>
        <v>4.0917408292057029</v>
      </c>
      <c r="AL37" s="47" t="s">
        <v>35</v>
      </c>
      <c r="AM37" s="2">
        <f t="shared" si="40"/>
        <v>0.48484848484848486</v>
      </c>
      <c r="AN37" s="2">
        <f t="shared" si="40"/>
        <v>0.3888888888888889</v>
      </c>
      <c r="AO37" s="2">
        <f t="shared" si="40"/>
        <v>0.52830188679245282</v>
      </c>
      <c r="AP37" s="2">
        <f t="shared" si="40"/>
        <v>0.5714285714285714</v>
      </c>
      <c r="AQ37" s="2">
        <f>AVERAGE(AM37:AP37)</f>
        <v>0.49336695798959945</v>
      </c>
      <c r="AR37" s="2" cm="1">
        <f t="array" ref="AR37">MMULT(AM30:AP30,AQ35:AQ38)/AQ37</f>
        <v>4.1615953975732412</v>
      </c>
    </row>
    <row r="38" spans="16:45" x14ac:dyDescent="0.3">
      <c r="P38" s="47" t="s">
        <v>36</v>
      </c>
      <c r="Q38" s="2">
        <f t="shared" si="41"/>
        <v>9.836065573770493E-2</v>
      </c>
      <c r="R38" s="2">
        <f t="shared" si="41"/>
        <v>5.6603773584905662E-2</v>
      </c>
      <c r="S38" s="2">
        <f t="shared" si="41"/>
        <v>3.4482758620689655E-2</v>
      </c>
      <c r="T38" s="2">
        <f t="shared" si="41"/>
        <v>6.6666666666666666E-2</v>
      </c>
      <c r="U38" s="2">
        <f t="shared" si="42"/>
        <v>6.4028463652491721E-2</v>
      </c>
      <c r="V38" s="2" cm="1">
        <f t="array" ref="V38">MMULT(Q31:T31,$U$35:$U$38)/U38</f>
        <v>4.053020375527157</v>
      </c>
      <c r="AA38" s="47" t="s">
        <v>36</v>
      </c>
      <c r="AB38" s="2">
        <f t="shared" si="39"/>
        <v>0.11931821571540221</v>
      </c>
      <c r="AC38" s="2">
        <f t="shared" si="39"/>
        <v>0.2</v>
      </c>
      <c r="AD38" s="2">
        <f t="shared" si="39"/>
        <v>0.10526315789473684</v>
      </c>
      <c r="AE38" s="2">
        <f t="shared" si="39"/>
        <v>0.1200000048000002</v>
      </c>
      <c r="AF38" s="2">
        <f>AVERAGE(AB38:AE38)</f>
        <v>0.1361453446025348</v>
      </c>
      <c r="AG38" s="2" cm="1">
        <f t="array" ref="AG38">MMULT(AB31:AE31,AF35:AF38)/AF38</f>
        <v>4.0309002631448472</v>
      </c>
      <c r="AL38" s="47" t="s">
        <v>36</v>
      </c>
      <c r="AM38" s="2">
        <f t="shared" si="40"/>
        <v>0.36363636363636365</v>
      </c>
      <c r="AN38" s="2">
        <f t="shared" si="40"/>
        <v>0.33333333333333331</v>
      </c>
      <c r="AO38" s="2">
        <f t="shared" si="40"/>
        <v>0.26415094339622641</v>
      </c>
      <c r="AP38" s="2">
        <f t="shared" si="40"/>
        <v>0.2857142857142857</v>
      </c>
      <c r="AQ38" s="2">
        <f>AVERAGE(AM38:AP38)</f>
        <v>0.3117087315200523</v>
      </c>
      <c r="AR38" s="2" cm="1">
        <f t="array" ref="AR38">MMULT(AM31:AP31,AQ35:AQ38)/AQ38</f>
        <v>4.1701659569822027</v>
      </c>
    </row>
    <row r="39" spans="16:45" x14ac:dyDescent="0.3">
      <c r="P39" s="47" t="s">
        <v>154</v>
      </c>
      <c r="Q39" s="14">
        <f>SUM(Q35:Q38)</f>
        <v>1</v>
      </c>
      <c r="R39" s="14">
        <f t="shared" ref="R39:T39" si="43">SUM(R35:R38)</f>
        <v>1</v>
      </c>
      <c r="S39" s="14">
        <f t="shared" si="43"/>
        <v>0.99999999999999989</v>
      </c>
      <c r="T39" s="14">
        <f t="shared" si="43"/>
        <v>1</v>
      </c>
      <c r="U39" s="14">
        <f>SUM(U35:U38)</f>
        <v>1</v>
      </c>
      <c r="V39" s="2"/>
      <c r="AA39" s="47" t="s">
        <v>154</v>
      </c>
      <c r="AB39" s="14">
        <f>SUM(AB35:AB38)</f>
        <v>1</v>
      </c>
      <c r="AC39" s="14">
        <f>SUM(AC35:AC38)</f>
        <v>1</v>
      </c>
      <c r="AD39" s="14">
        <f>SUM(AD35:AD38)</f>
        <v>0.99999999999999989</v>
      </c>
      <c r="AE39" s="14">
        <f>SUM(AE35:AE38)</f>
        <v>0.99999999999999989</v>
      </c>
      <c r="AF39" s="14">
        <f>SUM(AF35:AF38)</f>
        <v>0.99999999999999989</v>
      </c>
      <c r="AG39" s="2"/>
      <c r="AL39" s="47" t="s">
        <v>154</v>
      </c>
      <c r="AM39" s="14">
        <f>SUM(AM35:AM38)</f>
        <v>1</v>
      </c>
      <c r="AN39" s="14">
        <f>SUM(AN35:AN38)</f>
        <v>1</v>
      </c>
      <c r="AO39" s="14">
        <f>SUM(AO35:AO38)</f>
        <v>1</v>
      </c>
      <c r="AP39" s="14">
        <f>SUM(AP35:AP38)</f>
        <v>0.99999999999999989</v>
      </c>
      <c r="AQ39" s="14">
        <f>SUM(AQ35:AQ38)</f>
        <v>0.99999999999999989</v>
      </c>
      <c r="AR39" s="2"/>
    </row>
    <row r="40" spans="16:45" x14ac:dyDescent="0.3">
      <c r="U40" s="2" t="s">
        <v>157</v>
      </c>
      <c r="V40" s="2">
        <f>MAX(V35:V38)</f>
        <v>4.2692122090188489</v>
      </c>
      <c r="AF40" s="2" t="s">
        <v>157</v>
      </c>
      <c r="AG40" s="2">
        <f>MAX(AG35:AG38)</f>
        <v>4.1299631170679643</v>
      </c>
      <c r="AQ40" s="2" t="s">
        <v>157</v>
      </c>
      <c r="AR40" s="2">
        <f>MAX(AR35:AR38)</f>
        <v>4.1701659569822027</v>
      </c>
    </row>
    <row r="47" spans="16:45" x14ac:dyDescent="0.3">
      <c r="AA47" s="55"/>
      <c r="AB47" s="55"/>
      <c r="AC47" s="55"/>
      <c r="AD47" s="55"/>
      <c r="AE47" s="55"/>
      <c r="AF47" s="55"/>
      <c r="AG47" s="55"/>
      <c r="AH47" s="55"/>
      <c r="AI47" s="55"/>
    </row>
    <row r="49" spans="27:34" x14ac:dyDescent="0.3">
      <c r="AA49" s="44" t="s">
        <v>178</v>
      </c>
    </row>
    <row r="51" spans="27:34" x14ac:dyDescent="0.3">
      <c r="AA51" s="47"/>
      <c r="AB51" s="47" t="s">
        <v>27</v>
      </c>
      <c r="AC51" s="47" t="s">
        <v>30</v>
      </c>
      <c r="AD51" s="47" t="s">
        <v>35</v>
      </c>
      <c r="AE51" s="47" t="s">
        <v>36</v>
      </c>
    </row>
    <row r="52" spans="27:34" x14ac:dyDescent="0.3">
      <c r="AA52" s="47" t="s">
        <v>27</v>
      </c>
      <c r="AB52" s="2">
        <v>1</v>
      </c>
      <c r="AC52" s="2">
        <v>3</v>
      </c>
      <c r="AD52" s="2">
        <v>0.2</v>
      </c>
      <c r="AE52" s="2">
        <v>4</v>
      </c>
    </row>
    <row r="53" spans="27:34" x14ac:dyDescent="0.3">
      <c r="AA53" s="47" t="s">
        <v>30</v>
      </c>
      <c r="AB53" s="2">
        <v>0.33333333333333331</v>
      </c>
      <c r="AC53" s="2">
        <v>1</v>
      </c>
      <c r="AD53" s="2">
        <v>0.14285714285714285</v>
      </c>
      <c r="AE53" s="2">
        <v>2</v>
      </c>
    </row>
    <row r="54" spans="27:34" x14ac:dyDescent="0.3">
      <c r="AA54" s="47" t="s">
        <v>35</v>
      </c>
      <c r="AB54" s="2">
        <v>5</v>
      </c>
      <c r="AC54" s="2">
        <v>7</v>
      </c>
      <c r="AD54" s="2">
        <v>1</v>
      </c>
      <c r="AE54" s="2">
        <v>9</v>
      </c>
    </row>
    <row r="55" spans="27:34" x14ac:dyDescent="0.3">
      <c r="AA55" s="47" t="s">
        <v>36</v>
      </c>
      <c r="AB55" s="2">
        <v>0.25</v>
      </c>
      <c r="AC55" s="2">
        <v>0.5</v>
      </c>
      <c r="AD55" s="2">
        <v>0.1111111111111111</v>
      </c>
      <c r="AE55" s="2">
        <v>1</v>
      </c>
    </row>
    <row r="56" spans="27:34" x14ac:dyDescent="0.3">
      <c r="AA56" s="47" t="s">
        <v>224</v>
      </c>
      <c r="AB56" s="14">
        <f>SUM(AB52:AB55)</f>
        <v>6.583333333333333</v>
      </c>
      <c r="AC56" s="14">
        <f>SUM(AC52:AC55)</f>
        <v>11.5</v>
      </c>
      <c r="AD56" s="14">
        <f>SUM(AD52:AD55)</f>
        <v>1.4539682539682541</v>
      </c>
      <c r="AE56" s="14">
        <f>SUM(AE52:AE55)</f>
        <v>16</v>
      </c>
    </row>
    <row r="58" spans="27:34" x14ac:dyDescent="0.3">
      <c r="AA58" s="47"/>
      <c r="AB58" s="47" t="s">
        <v>27</v>
      </c>
      <c r="AC58" s="47" t="s">
        <v>30</v>
      </c>
      <c r="AD58" s="47" t="s">
        <v>35</v>
      </c>
      <c r="AE58" s="47" t="s">
        <v>36</v>
      </c>
      <c r="AF58" s="2" t="s">
        <v>155</v>
      </c>
      <c r="AG58" s="2" t="s">
        <v>156</v>
      </c>
      <c r="AH58" s="2" t="s">
        <v>158</v>
      </c>
    </row>
    <row r="59" spans="27:34" x14ac:dyDescent="0.3">
      <c r="AA59" s="47" t="s">
        <v>27</v>
      </c>
      <c r="AB59" s="2">
        <f t="shared" ref="AB59:AE62" si="44">AB52/AB$56</f>
        <v>0.15189873417721519</v>
      </c>
      <c r="AC59" s="2">
        <f t="shared" si="44"/>
        <v>0.2608695652173913</v>
      </c>
      <c r="AD59" s="2">
        <f t="shared" si="44"/>
        <v>0.13755458515283842</v>
      </c>
      <c r="AE59" s="2">
        <f t="shared" si="44"/>
        <v>0.25</v>
      </c>
      <c r="AF59" s="2">
        <f>AVERAGE(AB59:AE59)</f>
        <v>0.20008072113686121</v>
      </c>
      <c r="AG59" s="2" cm="1">
        <f t="array" ref="AG59">MMULT(AB52:AE52,AF59:AF62)/AF59</f>
        <v>4.1083819494232507</v>
      </c>
      <c r="AH59" s="2">
        <f>(AG64-4)/3</f>
        <v>8.3442875646189421E-2</v>
      </c>
    </row>
    <row r="60" spans="27:34" x14ac:dyDescent="0.3">
      <c r="AA60" s="47" t="s">
        <v>30</v>
      </c>
      <c r="AB60" s="2">
        <f t="shared" si="44"/>
        <v>5.0632911392405063E-2</v>
      </c>
      <c r="AC60" s="2">
        <f t="shared" si="44"/>
        <v>8.6956521739130432E-2</v>
      </c>
      <c r="AD60" s="2">
        <f t="shared" si="44"/>
        <v>9.8253275109170285E-2</v>
      </c>
      <c r="AE60" s="2">
        <f t="shared" si="44"/>
        <v>0.125</v>
      </c>
      <c r="AF60" s="2">
        <f>AVERAGE(AB60:AE60)</f>
        <v>9.0210677060176436E-2</v>
      </c>
      <c r="AG60" s="2" cm="1">
        <f t="array" ref="AG60">MMULT(AB53:AE53,AF59:AF62)/AF60</f>
        <v>3.9973853495448992</v>
      </c>
    </row>
    <row r="61" spans="27:34" x14ac:dyDescent="0.3">
      <c r="AA61" s="47" t="s">
        <v>35</v>
      </c>
      <c r="AB61" s="2">
        <f t="shared" si="44"/>
        <v>0.759493670886076</v>
      </c>
      <c r="AC61" s="2">
        <f t="shared" si="44"/>
        <v>0.60869565217391308</v>
      </c>
      <c r="AD61" s="2">
        <f t="shared" si="44"/>
        <v>0.68777292576419202</v>
      </c>
      <c r="AE61" s="2">
        <f t="shared" si="44"/>
        <v>0.5625</v>
      </c>
      <c r="AF61" s="2">
        <f>AVERAGE(AB61:AE61)</f>
        <v>0.65461556220604522</v>
      </c>
      <c r="AG61" s="2" cm="1">
        <f t="array" ref="AG61">MMULT(AB54:AE54,AF59:AF62)/AF61</f>
        <v>4.2503286269385683</v>
      </c>
    </row>
    <row r="62" spans="27:34" x14ac:dyDescent="0.3">
      <c r="AA62" s="47" t="s">
        <v>36</v>
      </c>
      <c r="AB62" s="2">
        <f t="shared" si="44"/>
        <v>3.7974683544303799E-2</v>
      </c>
      <c r="AC62" s="2">
        <f t="shared" si="44"/>
        <v>4.3478260869565216E-2</v>
      </c>
      <c r="AD62" s="2">
        <f t="shared" si="44"/>
        <v>7.6419213973799111E-2</v>
      </c>
      <c r="AE62" s="2">
        <f t="shared" si="44"/>
        <v>6.25E-2</v>
      </c>
      <c r="AF62" s="2">
        <f>AVERAGE(AB62:AE62)</f>
        <v>5.5093039596917033E-2</v>
      </c>
      <c r="AG62" s="2" cm="1">
        <f t="array" ref="AG62">MMULT(AB55:AE55,AF59:AF62)/AF62</f>
        <v>4.0468564179754427</v>
      </c>
    </row>
    <row r="63" spans="27:34" x14ac:dyDescent="0.3">
      <c r="AA63" s="47" t="s">
        <v>154</v>
      </c>
      <c r="AB63" s="14">
        <f>SUM(AB59:AB62)</f>
        <v>1</v>
      </c>
      <c r="AC63" s="14">
        <f>SUM(AC59:AC62)</f>
        <v>1</v>
      </c>
      <c r="AD63" s="14">
        <f>SUM(AD59:AD62)</f>
        <v>0.99999999999999989</v>
      </c>
      <c r="AE63" s="14">
        <f>SUM(AE59:AE62)</f>
        <v>1</v>
      </c>
      <c r="AF63" s="14">
        <f>SUM(AF59:AF62)</f>
        <v>0.99999999999999989</v>
      </c>
      <c r="AG63" s="2"/>
    </row>
    <row r="64" spans="27:34" x14ac:dyDescent="0.3">
      <c r="AF64" s="2" t="s">
        <v>157</v>
      </c>
      <c r="AG64" s="2">
        <f>MAX(AG59:AG62)</f>
        <v>4.2503286269385683</v>
      </c>
    </row>
    <row r="67" spans="27:34" x14ac:dyDescent="0.3">
      <c r="AA67" s="44" t="s">
        <v>225</v>
      </c>
    </row>
    <row r="69" spans="27:34" x14ac:dyDescent="0.3">
      <c r="AA69" s="47"/>
      <c r="AB69" s="47" t="s">
        <v>27</v>
      </c>
      <c r="AC69" s="47" t="s">
        <v>30</v>
      </c>
      <c r="AD69" s="47" t="s">
        <v>35</v>
      </c>
      <c r="AE69" s="47" t="s">
        <v>36</v>
      </c>
    </row>
    <row r="70" spans="27:34" x14ac:dyDescent="0.3">
      <c r="AA70" s="47" t="s">
        <v>27</v>
      </c>
      <c r="AB70" s="2">
        <v>1</v>
      </c>
      <c r="AC70" s="2">
        <v>7</v>
      </c>
      <c r="AD70" s="2">
        <v>9</v>
      </c>
      <c r="AE70" s="2">
        <v>4</v>
      </c>
    </row>
    <row r="71" spans="27:34" x14ac:dyDescent="0.3">
      <c r="AA71" s="47" t="s">
        <v>30</v>
      </c>
      <c r="AB71" s="2">
        <v>0.14285714285714285</v>
      </c>
      <c r="AC71" s="2">
        <v>1</v>
      </c>
      <c r="AD71" s="2">
        <v>3</v>
      </c>
      <c r="AE71" s="2">
        <v>0.33333333333333331</v>
      </c>
    </row>
    <row r="72" spans="27:34" x14ac:dyDescent="0.3">
      <c r="AA72" s="47" t="s">
        <v>35</v>
      </c>
      <c r="AB72" s="2">
        <v>0.1111111111111111</v>
      </c>
      <c r="AC72" s="2">
        <v>0.33333333333333331</v>
      </c>
      <c r="AD72" s="2">
        <v>1</v>
      </c>
      <c r="AE72" s="2">
        <v>0.25</v>
      </c>
    </row>
    <row r="73" spans="27:34" x14ac:dyDescent="0.3">
      <c r="AA73" s="47" t="s">
        <v>36</v>
      </c>
      <c r="AB73" s="2">
        <v>0.25</v>
      </c>
      <c r="AC73" s="2">
        <v>3</v>
      </c>
      <c r="AD73" s="2">
        <v>4</v>
      </c>
      <c r="AE73" s="2">
        <v>1</v>
      </c>
    </row>
    <row r="74" spans="27:34" x14ac:dyDescent="0.3">
      <c r="AA74" s="47" t="s">
        <v>224</v>
      </c>
      <c r="AB74" s="14">
        <f>SUM(AB70:AB73)</f>
        <v>1.503968253968254</v>
      </c>
      <c r="AC74" s="14">
        <f>SUM(AC70:AC73)</f>
        <v>11.333333333333334</v>
      </c>
      <c r="AD74" s="14">
        <f>SUM(AD70:AD73)</f>
        <v>17</v>
      </c>
      <c r="AE74" s="14">
        <f>SUM(AE70:AE73)</f>
        <v>5.583333333333333</v>
      </c>
    </row>
    <row r="76" spans="27:34" x14ac:dyDescent="0.3">
      <c r="AA76" s="47"/>
      <c r="AB76" s="47" t="s">
        <v>27</v>
      </c>
      <c r="AC76" s="47" t="s">
        <v>30</v>
      </c>
      <c r="AD76" s="47" t="s">
        <v>35</v>
      </c>
      <c r="AE76" s="47" t="s">
        <v>36</v>
      </c>
      <c r="AF76" s="2" t="s">
        <v>155</v>
      </c>
      <c r="AG76" s="2" t="s">
        <v>156</v>
      </c>
      <c r="AH76" s="2" t="s">
        <v>158</v>
      </c>
    </row>
    <row r="77" spans="27:34" x14ac:dyDescent="0.3">
      <c r="AA77" s="47" t="s">
        <v>27</v>
      </c>
      <c r="AB77" s="2">
        <f t="shared" ref="AB77:AE80" si="45">AB70/AB$74</f>
        <v>0.66490765171503963</v>
      </c>
      <c r="AC77" s="2">
        <f t="shared" si="45"/>
        <v>0.61764705882352933</v>
      </c>
      <c r="AD77" s="2">
        <f t="shared" si="45"/>
        <v>0.52941176470588236</v>
      </c>
      <c r="AE77" s="2">
        <f t="shared" si="45"/>
        <v>0.71641791044776126</v>
      </c>
      <c r="AF77" s="2">
        <f>AVERAGE(AB77:AE77)</f>
        <v>0.63209609642305309</v>
      </c>
      <c r="AG77" s="2" cm="1">
        <f t="array" ref="AG77">MMULT(AB70:AE70,AF77:AF80)/AF77</f>
        <v>4.2349097145967018</v>
      </c>
      <c r="AH77" s="2">
        <f>(AG82-4)/3</f>
        <v>7.8303238198900615E-2</v>
      </c>
    </row>
    <row r="78" spans="27:34" x14ac:dyDescent="0.3">
      <c r="AA78" s="47" t="s">
        <v>30</v>
      </c>
      <c r="AB78" s="2">
        <f t="shared" si="45"/>
        <v>9.498680738786279E-2</v>
      </c>
      <c r="AC78" s="2">
        <f t="shared" si="45"/>
        <v>8.8235294117647051E-2</v>
      </c>
      <c r="AD78" s="2">
        <f t="shared" si="45"/>
        <v>0.17647058823529413</v>
      </c>
      <c r="AE78" s="2">
        <f t="shared" si="45"/>
        <v>5.9701492537313432E-2</v>
      </c>
      <c r="AF78" s="2">
        <f>AVERAGE(AB78:AE78)</f>
        <v>0.10484854556952934</v>
      </c>
      <c r="AG78" s="2" cm="1">
        <f t="array" ref="AG78">MMULT(AB71:AE71,AF77:AF80)/AF78</f>
        <v>4.0130246851964442</v>
      </c>
    </row>
    <row r="79" spans="27:34" x14ac:dyDescent="0.3">
      <c r="AA79" s="47" t="s">
        <v>35</v>
      </c>
      <c r="AB79" s="2">
        <f t="shared" si="45"/>
        <v>7.3878627968337732E-2</v>
      </c>
      <c r="AC79" s="2">
        <f t="shared" si="45"/>
        <v>2.9411764705882349E-2</v>
      </c>
      <c r="AD79" s="2">
        <f t="shared" si="45"/>
        <v>5.8823529411764705E-2</v>
      </c>
      <c r="AE79" s="2">
        <f t="shared" si="45"/>
        <v>4.4776119402985079E-2</v>
      </c>
      <c r="AF79" s="2">
        <f>AVERAGE(AB79:AE79)</f>
        <v>5.1722510372242472E-2</v>
      </c>
      <c r="AG79" s="2" cm="1">
        <f t="array" ref="AG79">MMULT(AB72:AE72,AF77:AF80)/AF79</f>
        <v>4.0550649139798782</v>
      </c>
    </row>
    <row r="80" spans="27:34" x14ac:dyDescent="0.3">
      <c r="AA80" s="47" t="s">
        <v>36</v>
      </c>
      <c r="AB80" s="2">
        <f t="shared" si="45"/>
        <v>0.16622691292875991</v>
      </c>
      <c r="AC80" s="2">
        <f t="shared" si="45"/>
        <v>0.26470588235294118</v>
      </c>
      <c r="AD80" s="2">
        <f t="shared" si="45"/>
        <v>0.23529411764705882</v>
      </c>
      <c r="AE80" s="2">
        <f t="shared" si="45"/>
        <v>0.17910447761194032</v>
      </c>
      <c r="AF80" s="2">
        <f>AVERAGE(AB80:AE80)</f>
        <v>0.21133284763517507</v>
      </c>
      <c r="AG80" s="2" cm="1">
        <f t="array" ref="AG80">MMULT(AB73:AE73,AF77:AF80)/AF80</f>
        <v>4.215116390596676</v>
      </c>
    </row>
    <row r="81" spans="27:33" x14ac:dyDescent="0.3">
      <c r="AA81" s="47" t="s">
        <v>154</v>
      </c>
      <c r="AB81" s="14">
        <f>SUM(AB77:AB80)</f>
        <v>1</v>
      </c>
      <c r="AC81" s="14">
        <f>SUM(AC77:AC80)</f>
        <v>1</v>
      </c>
      <c r="AD81" s="14">
        <f>SUM(AD77:AD80)</f>
        <v>1</v>
      </c>
      <c r="AE81" s="14">
        <f>SUM(AE77:AE80)</f>
        <v>1</v>
      </c>
      <c r="AF81" s="14">
        <f>SUM(AF77:AF80)</f>
        <v>1</v>
      </c>
      <c r="AG81" s="2"/>
    </row>
    <row r="82" spans="27:33" x14ac:dyDescent="0.3">
      <c r="AF82" s="2" t="s">
        <v>157</v>
      </c>
      <c r="AG82" s="2">
        <f>MAX(AG77:AG80)</f>
        <v>4.2349097145967018</v>
      </c>
    </row>
  </sheetData>
  <conditionalFormatting sqref="W17 W35">
    <cfRule type="cellIs" dxfId="15" priority="17" operator="lessThanOrEqual">
      <formula>0.1</formula>
    </cfRule>
    <cfRule type="cellIs" dxfId="14" priority="18" operator="greaterThan">
      <formula>0.1</formula>
    </cfRule>
  </conditionalFormatting>
  <conditionalFormatting sqref="AH17">
    <cfRule type="cellIs" dxfId="13" priority="15" operator="lessThanOrEqual">
      <formula>0.1</formula>
    </cfRule>
    <cfRule type="cellIs" dxfId="12" priority="16" operator="greaterThan">
      <formula>0.1</formula>
    </cfRule>
  </conditionalFormatting>
  <conditionalFormatting sqref="AH35">
    <cfRule type="cellIs" dxfId="11" priority="13" operator="lessThanOrEqual">
      <formula>0.1</formula>
    </cfRule>
    <cfRule type="cellIs" dxfId="10" priority="14" operator="greaterThan">
      <formula>0.1</formula>
    </cfRule>
  </conditionalFormatting>
  <conditionalFormatting sqref="AH59">
    <cfRule type="cellIs" dxfId="9" priority="5" operator="lessThanOrEqual">
      <formula>0.1</formula>
    </cfRule>
    <cfRule type="cellIs" dxfId="8" priority="6" operator="greaterThan">
      <formula>0.1</formula>
    </cfRule>
  </conditionalFormatting>
  <conditionalFormatting sqref="AH77">
    <cfRule type="cellIs" dxfId="7" priority="3" operator="lessThanOrEqual">
      <formula>0.1</formula>
    </cfRule>
    <cfRule type="cellIs" dxfId="6" priority="4" operator="greaterThan">
      <formula>0.1</formula>
    </cfRule>
  </conditionalFormatting>
  <conditionalFormatting sqref="AS17">
    <cfRule type="cellIs" dxfId="5" priority="11" operator="lessThanOrEqual">
      <formula>0.1</formula>
    </cfRule>
    <cfRule type="cellIs" dxfId="4" priority="12" operator="greaterThan">
      <formula>0.1</formula>
    </cfRule>
  </conditionalFormatting>
  <conditionalFormatting sqref="AS35">
    <cfRule type="cellIs" dxfId="3" priority="7" operator="lessThanOrEqual">
      <formula>0.1</formula>
    </cfRule>
    <cfRule type="cellIs" dxfId="2" priority="8" operator="greaterThan">
      <formula>0.1</formula>
    </cfRule>
  </conditionalFormatting>
  <conditionalFormatting sqref="BD19">
    <cfRule type="cellIs" dxfId="1" priority="1" operator="lessThanOrEqual">
      <formula>0.1</formula>
    </cfRule>
    <cfRule type="cellIs" dxfId="0" priority="2" operator="greaterThan">
      <formula>0.1</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400D-A78A-4ADB-BA38-3353F8D91343}">
  <dimension ref="B2:F4"/>
  <sheetViews>
    <sheetView workbookViewId="0">
      <selection activeCell="O10" sqref="O10"/>
    </sheetView>
  </sheetViews>
  <sheetFormatPr defaultRowHeight="14.4" x14ac:dyDescent="0.3"/>
  <cols>
    <col min="2" max="2" width="11.6640625" bestFit="1" customWidth="1"/>
  </cols>
  <sheetData>
    <row r="2" spans="2:6" x14ac:dyDescent="0.3">
      <c r="B2" s="2"/>
      <c r="C2" s="2" t="s">
        <v>27</v>
      </c>
      <c r="D2" s="2" t="s">
        <v>30</v>
      </c>
      <c r="E2" s="2" t="s">
        <v>35</v>
      </c>
      <c r="F2" s="2" t="s">
        <v>36</v>
      </c>
    </row>
    <row r="3" spans="2:6" x14ac:dyDescent="0.3">
      <c r="B3" s="2" t="s">
        <v>85</v>
      </c>
      <c r="C3" s="2">
        <f>'MCDA - AHP'!BH15</f>
        <v>20.61081399684765</v>
      </c>
      <c r="D3" s="2">
        <f>'MCDA - AHP'!BI15</f>
        <v>17.171255324916046</v>
      </c>
      <c r="E3" s="2">
        <f>'MCDA - AHP'!BJ15</f>
        <v>29.313708871679424</v>
      </c>
      <c r="F3" s="2">
        <f>'MCDA - AHP'!BK15</f>
        <v>32.904221806556876</v>
      </c>
    </row>
    <row r="4" spans="2:6" x14ac:dyDescent="0.3">
      <c r="B4" s="2" t="s">
        <v>88</v>
      </c>
      <c r="C4" s="2">
        <f>'MCDA - REMBRANDT'!BP15</f>
        <v>11.202223875962595</v>
      </c>
      <c r="D4" s="2">
        <f>'MCDA - REMBRANDT'!BQ15</f>
        <v>1.7579971369325122</v>
      </c>
      <c r="E4" s="2">
        <f>'MCDA - REMBRANDT'!BR15</f>
        <v>38.9421497409758</v>
      </c>
      <c r="F4" s="2">
        <f>'MCDA - REMBRANDT'!BS15</f>
        <v>48.097629246129081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85A09-1B2C-4033-A33E-1C10CEC214AC}">
  <sheetPr>
    <tabColor theme="9"/>
  </sheetPr>
  <dimension ref="A2:AF82"/>
  <sheetViews>
    <sheetView topLeftCell="A20" zoomScale="55" zoomScaleNormal="55" workbookViewId="0">
      <selection activeCell="J25" sqref="J25"/>
    </sheetView>
  </sheetViews>
  <sheetFormatPr defaultRowHeight="14.4" x14ac:dyDescent="0.3"/>
  <cols>
    <col min="3" max="3" width="8.88671875" bestFit="1" customWidth="1"/>
    <col min="22" max="22" width="16.77734375" customWidth="1"/>
    <col min="25" max="25" width="13.6640625" bestFit="1" customWidth="1"/>
    <col min="28" max="28" width="11.6640625" bestFit="1" customWidth="1"/>
  </cols>
  <sheetData>
    <row r="2" spans="2:27" ht="409.6" customHeight="1" x14ac:dyDescent="0.3">
      <c r="B2" t="s">
        <v>159</v>
      </c>
      <c r="C2" s="71" t="s">
        <v>161</v>
      </c>
      <c r="D2" s="71"/>
      <c r="E2" s="71"/>
      <c r="F2" s="71"/>
      <c r="W2" s="70" t="s">
        <v>165</v>
      </c>
      <c r="X2" s="70"/>
      <c r="Y2" s="70"/>
      <c r="Z2" s="70"/>
      <c r="AA2" s="70"/>
    </row>
    <row r="3" spans="2:27" ht="409.6" customHeight="1" x14ac:dyDescent="0.3">
      <c r="B3" t="s">
        <v>160</v>
      </c>
      <c r="C3" t="s">
        <v>162</v>
      </c>
      <c r="T3" t="s">
        <v>159</v>
      </c>
      <c r="U3" s="49" t="s">
        <v>163</v>
      </c>
      <c r="V3" s="49" t="s">
        <v>164</v>
      </c>
      <c r="W3" s="70"/>
      <c r="X3" s="70"/>
      <c r="Y3" s="70"/>
      <c r="Z3" s="70"/>
      <c r="AA3" s="70"/>
    </row>
    <row r="4" spans="2:27" x14ac:dyDescent="0.3">
      <c r="U4" s="50" t="s">
        <v>27</v>
      </c>
      <c r="V4" s="50">
        <v>30</v>
      </c>
      <c r="W4" s="70"/>
      <c r="X4" s="70"/>
      <c r="Y4" s="70"/>
      <c r="Z4" s="70"/>
      <c r="AA4" s="70"/>
    </row>
    <row r="5" spans="2:27" x14ac:dyDescent="0.3">
      <c r="C5" t="s">
        <v>76</v>
      </c>
      <c r="U5" s="50" t="s">
        <v>30</v>
      </c>
      <c r="V5" s="50">
        <v>0</v>
      </c>
      <c r="W5" s="70"/>
      <c r="X5" s="70"/>
      <c r="Y5" s="70"/>
      <c r="Z5" s="70"/>
      <c r="AA5" s="70"/>
    </row>
    <row r="6" spans="2:27" x14ac:dyDescent="0.3">
      <c r="B6" t="s">
        <v>77</v>
      </c>
      <c r="C6" s="48" t="s">
        <v>81</v>
      </c>
      <c r="U6" s="50" t="s">
        <v>35</v>
      </c>
      <c r="V6" s="50">
        <v>60</v>
      </c>
      <c r="W6" s="70"/>
      <c r="X6" s="70"/>
      <c r="Y6" s="70"/>
      <c r="Z6" s="70"/>
      <c r="AA6" s="70"/>
    </row>
    <row r="7" spans="2:27" x14ac:dyDescent="0.3">
      <c r="B7" t="s">
        <v>78</v>
      </c>
      <c r="C7" s="48" t="s">
        <v>82</v>
      </c>
      <c r="U7" s="50" t="s">
        <v>36</v>
      </c>
      <c r="V7" s="50">
        <v>100</v>
      </c>
      <c r="W7" s="70"/>
      <c r="X7" s="70"/>
      <c r="Y7" s="70"/>
      <c r="Z7" s="70"/>
      <c r="AA7" s="70"/>
    </row>
    <row r="8" spans="2:27" x14ac:dyDescent="0.3">
      <c r="B8" t="s">
        <v>79</v>
      </c>
      <c r="C8" s="48" t="s">
        <v>83</v>
      </c>
    </row>
    <row r="9" spans="2:27" x14ac:dyDescent="0.3">
      <c r="B9" t="s">
        <v>80</v>
      </c>
      <c r="C9" s="48" t="s">
        <v>84</v>
      </c>
    </row>
    <row r="10" spans="2:27" ht="52.2" customHeight="1" x14ac:dyDescent="0.3">
      <c r="T10" t="s">
        <v>160</v>
      </c>
      <c r="U10" s="49" t="s">
        <v>163</v>
      </c>
      <c r="V10" s="49" t="s">
        <v>166</v>
      </c>
      <c r="W10" s="70" t="s">
        <v>167</v>
      </c>
      <c r="X10" s="70"/>
      <c r="Y10" s="70"/>
      <c r="Z10" s="70"/>
      <c r="AA10" s="70"/>
    </row>
    <row r="11" spans="2:27" x14ac:dyDescent="0.3">
      <c r="U11" s="50" t="s">
        <v>27</v>
      </c>
      <c r="V11" s="50">
        <v>100</v>
      </c>
      <c r="W11" s="70"/>
      <c r="X11" s="70"/>
      <c r="Y11" s="70"/>
      <c r="Z11" s="70"/>
      <c r="AA11" s="70"/>
    </row>
    <row r="12" spans="2:27" x14ac:dyDescent="0.3">
      <c r="U12" s="50" t="s">
        <v>30</v>
      </c>
      <c r="V12" s="50">
        <v>0</v>
      </c>
      <c r="W12" s="70"/>
      <c r="X12" s="70"/>
      <c r="Y12" s="70"/>
      <c r="Z12" s="70"/>
      <c r="AA12" s="70"/>
    </row>
    <row r="13" spans="2:27" x14ac:dyDescent="0.3">
      <c r="U13" s="50" t="s">
        <v>35</v>
      </c>
      <c r="V13" s="50">
        <v>70</v>
      </c>
      <c r="W13" s="70"/>
      <c r="X13" s="70"/>
      <c r="Y13" s="70"/>
      <c r="Z13" s="70"/>
      <c r="AA13" s="70"/>
    </row>
    <row r="14" spans="2:27" x14ac:dyDescent="0.3">
      <c r="U14" s="50" t="s">
        <v>36</v>
      </c>
      <c r="V14" s="50">
        <v>30</v>
      </c>
      <c r="W14" s="70"/>
      <c r="X14" s="70"/>
      <c r="Y14" s="70"/>
      <c r="Z14" s="70"/>
      <c r="AA14" s="70"/>
    </row>
    <row r="15" spans="2:27" x14ac:dyDescent="0.3">
      <c r="W15" s="70"/>
      <c r="X15" s="70"/>
      <c r="Y15" s="70"/>
      <c r="Z15" s="70"/>
      <c r="AA15" s="70"/>
    </row>
    <row r="18" spans="1:32" x14ac:dyDescent="0.3">
      <c r="U18" s="44" t="s">
        <v>85</v>
      </c>
      <c r="AB18" s="44" t="s">
        <v>88</v>
      </c>
    </row>
    <row r="19" spans="1:32" x14ac:dyDescent="0.3">
      <c r="U19" t="s">
        <v>159</v>
      </c>
      <c r="AB19" t="s">
        <v>159</v>
      </c>
    </row>
    <row r="20" spans="1:32" x14ac:dyDescent="0.3">
      <c r="U20" s="52"/>
      <c r="V20" s="52" t="s">
        <v>27</v>
      </c>
      <c r="W20" s="52" t="s">
        <v>30</v>
      </c>
      <c r="X20" s="52" t="s">
        <v>35</v>
      </c>
      <c r="Y20" s="52" t="s">
        <v>36</v>
      </c>
      <c r="AB20" s="52"/>
      <c r="AC20" s="52" t="s">
        <v>27</v>
      </c>
      <c r="AD20" s="52" t="s">
        <v>30</v>
      </c>
      <c r="AE20" s="52" t="s">
        <v>35</v>
      </c>
      <c r="AF20" s="52" t="s">
        <v>36</v>
      </c>
    </row>
    <row r="21" spans="1:32" x14ac:dyDescent="0.3">
      <c r="U21" s="52" t="s">
        <v>27</v>
      </c>
      <c r="V21" s="52">
        <v>1</v>
      </c>
      <c r="W21" s="52">
        <v>3</v>
      </c>
      <c r="X21" s="52">
        <v>0.33333299999999999</v>
      </c>
      <c r="Y21" s="52">
        <v>0.2</v>
      </c>
      <c r="AB21" s="52" t="s">
        <v>27</v>
      </c>
      <c r="AC21" s="53">
        <v>0</v>
      </c>
      <c r="AD21" s="53">
        <v>2</v>
      </c>
      <c r="AE21" s="53">
        <v>-4</v>
      </c>
      <c r="AF21" s="53">
        <v>-6</v>
      </c>
    </row>
    <row r="22" spans="1:32" x14ac:dyDescent="0.3">
      <c r="A22" t="s">
        <v>85</v>
      </c>
      <c r="K22" t="s">
        <v>88</v>
      </c>
      <c r="U22" s="52" t="s">
        <v>30</v>
      </c>
      <c r="V22" s="52">
        <v>0.33333299999999999</v>
      </c>
      <c r="W22" s="52">
        <v>1</v>
      </c>
      <c r="X22" s="52">
        <v>0.2</v>
      </c>
      <c r="Y22" s="52">
        <v>0.111111</v>
      </c>
      <c r="AB22" s="52" t="s">
        <v>30</v>
      </c>
      <c r="AC22" s="53">
        <v>-2</v>
      </c>
      <c r="AD22" s="53">
        <v>0</v>
      </c>
      <c r="AE22" s="53">
        <v>-6</v>
      </c>
      <c r="AF22" s="53">
        <v>-8</v>
      </c>
    </row>
    <row r="23" spans="1:32" x14ac:dyDescent="0.3">
      <c r="U23" s="52" t="s">
        <v>35</v>
      </c>
      <c r="V23" s="52">
        <v>3</v>
      </c>
      <c r="W23" s="52">
        <v>5</v>
      </c>
      <c r="X23" s="52">
        <v>1</v>
      </c>
      <c r="Y23" s="52">
        <v>0.33333299999999999</v>
      </c>
      <c r="AB23" s="52" t="s">
        <v>35</v>
      </c>
      <c r="AC23" s="53">
        <v>4</v>
      </c>
      <c r="AD23" s="53">
        <v>6</v>
      </c>
      <c r="AE23" s="53">
        <v>0</v>
      </c>
      <c r="AF23" s="53">
        <v>-4</v>
      </c>
    </row>
    <row r="24" spans="1:32" x14ac:dyDescent="0.3">
      <c r="U24" s="52" t="s">
        <v>36</v>
      </c>
      <c r="V24" s="52">
        <v>5</v>
      </c>
      <c r="W24" s="52">
        <v>9</v>
      </c>
      <c r="X24" s="52">
        <v>3</v>
      </c>
      <c r="Y24" s="52">
        <v>1</v>
      </c>
      <c r="AB24" s="52" t="s">
        <v>36</v>
      </c>
      <c r="AC24" s="53">
        <v>6</v>
      </c>
      <c r="AD24" s="53">
        <v>8</v>
      </c>
      <c r="AE24" s="53">
        <v>4</v>
      </c>
      <c r="AF24" s="53">
        <v>0</v>
      </c>
    </row>
    <row r="25" spans="1:32" x14ac:dyDescent="0.3">
      <c r="V25" s="52"/>
      <c r="W25" s="52"/>
      <c r="X25" s="52"/>
      <c r="Y25" s="52"/>
    </row>
    <row r="26" spans="1:32" x14ac:dyDescent="0.3">
      <c r="V26" s="52"/>
      <c r="W26" s="52"/>
      <c r="X26" s="52"/>
      <c r="Y26" s="52"/>
    </row>
    <row r="27" spans="1:32" x14ac:dyDescent="0.3">
      <c r="V27" s="52"/>
      <c r="W27" s="52"/>
      <c r="X27" s="52"/>
      <c r="Y27" s="52"/>
    </row>
    <row r="28" spans="1:32" x14ac:dyDescent="0.3">
      <c r="U28" t="s">
        <v>160</v>
      </c>
      <c r="V28" s="52"/>
      <c r="W28" s="52"/>
      <c r="X28" s="52"/>
      <c r="Y28" s="52"/>
      <c r="AB28" t="s">
        <v>160</v>
      </c>
    </row>
    <row r="29" spans="1:32" x14ac:dyDescent="0.3">
      <c r="V29" s="52" t="s">
        <v>27</v>
      </c>
      <c r="W29" s="52" t="s">
        <v>30</v>
      </c>
      <c r="X29" s="52" t="s">
        <v>35</v>
      </c>
      <c r="Y29" s="52" t="s">
        <v>36</v>
      </c>
      <c r="AB29" s="52"/>
      <c r="AC29" s="52" t="s">
        <v>27</v>
      </c>
      <c r="AD29" s="52" t="s">
        <v>30</v>
      </c>
      <c r="AE29" s="52" t="s">
        <v>35</v>
      </c>
      <c r="AF29" s="52" t="s">
        <v>36</v>
      </c>
    </row>
    <row r="30" spans="1:32" x14ac:dyDescent="0.3">
      <c r="U30" t="s">
        <v>27</v>
      </c>
      <c r="V30" s="52">
        <v>1</v>
      </c>
      <c r="W30" s="52">
        <v>9</v>
      </c>
      <c r="X30" s="52">
        <v>3</v>
      </c>
      <c r="Y30" s="52">
        <v>7</v>
      </c>
      <c r="AB30" s="52" t="s">
        <v>27</v>
      </c>
      <c r="AC30" s="53">
        <v>0</v>
      </c>
      <c r="AD30" s="53">
        <v>6</v>
      </c>
      <c r="AE30" s="53">
        <v>4</v>
      </c>
      <c r="AF30" s="53">
        <v>4</v>
      </c>
    </row>
    <row r="31" spans="1:32" x14ac:dyDescent="0.3">
      <c r="U31" t="s">
        <v>30</v>
      </c>
      <c r="V31" s="52">
        <v>0.111111</v>
      </c>
      <c r="W31" s="52">
        <v>1</v>
      </c>
      <c r="X31" s="52">
        <v>0.14285700000000001</v>
      </c>
      <c r="Y31" s="52">
        <v>0.33333299999999999</v>
      </c>
      <c r="AB31" s="52" t="s">
        <v>30</v>
      </c>
      <c r="AC31" s="53">
        <v>-6</v>
      </c>
      <c r="AD31" s="53">
        <v>0</v>
      </c>
      <c r="AE31" s="53">
        <v>-4</v>
      </c>
      <c r="AF31" s="53">
        <v>-2</v>
      </c>
    </row>
    <row r="32" spans="1:32" x14ac:dyDescent="0.3">
      <c r="U32" t="s">
        <v>35</v>
      </c>
      <c r="V32" s="52">
        <v>0.33333299999999999</v>
      </c>
      <c r="W32" s="52">
        <v>7</v>
      </c>
      <c r="X32" s="52">
        <v>1</v>
      </c>
      <c r="Y32" s="52">
        <v>5</v>
      </c>
      <c r="AB32" s="52" t="s">
        <v>35</v>
      </c>
      <c r="AC32" s="53">
        <v>-4</v>
      </c>
      <c r="AD32" s="53">
        <v>4</v>
      </c>
      <c r="AE32" s="53">
        <v>0</v>
      </c>
      <c r="AF32" s="53">
        <v>2</v>
      </c>
    </row>
    <row r="33" spans="21:32" x14ac:dyDescent="0.3">
      <c r="U33" t="s">
        <v>36</v>
      </c>
      <c r="V33" s="52">
        <v>0.14285700000000001</v>
      </c>
      <c r="W33" s="52">
        <v>3</v>
      </c>
      <c r="X33" s="52">
        <v>0.2</v>
      </c>
      <c r="Y33" s="52">
        <v>1</v>
      </c>
      <c r="AB33" s="52" t="s">
        <v>36</v>
      </c>
      <c r="AC33" s="53">
        <v>-4</v>
      </c>
      <c r="AD33" s="53">
        <v>2</v>
      </c>
      <c r="AE33" s="53">
        <v>-2</v>
      </c>
      <c r="AF33" s="53">
        <v>0</v>
      </c>
    </row>
    <row r="47" spans="21:32" s="55" customFormat="1" x14ac:dyDescent="0.3"/>
    <row r="50" spans="2:13" ht="23.4" x14ac:dyDescent="0.45">
      <c r="B50" s="56" t="s">
        <v>208</v>
      </c>
      <c r="M50" t="s">
        <v>222</v>
      </c>
    </row>
    <row r="51" spans="2:13" x14ac:dyDescent="0.3">
      <c r="B51" t="s">
        <v>209</v>
      </c>
    </row>
    <row r="52" spans="2:13" x14ac:dyDescent="0.3">
      <c r="B52" t="s">
        <v>210</v>
      </c>
    </row>
    <row r="53" spans="2:13" x14ac:dyDescent="0.3">
      <c r="B53" t="s">
        <v>211</v>
      </c>
    </row>
    <row r="54" spans="2:13" x14ac:dyDescent="0.3">
      <c r="B54" t="s">
        <v>212</v>
      </c>
    </row>
    <row r="55" spans="2:13" x14ac:dyDescent="0.3">
      <c r="B55" t="s">
        <v>213</v>
      </c>
    </row>
    <row r="56" spans="2:13" x14ac:dyDescent="0.3">
      <c r="B56" t="s">
        <v>214</v>
      </c>
    </row>
    <row r="57" spans="2:13" ht="23.4" x14ac:dyDescent="0.45">
      <c r="B57" s="56" t="s">
        <v>215</v>
      </c>
      <c r="J57" t="s">
        <v>223</v>
      </c>
    </row>
    <row r="58" spans="2:13" x14ac:dyDescent="0.3">
      <c r="B58" t="s">
        <v>216</v>
      </c>
    </row>
    <row r="59" spans="2:13" x14ac:dyDescent="0.3">
      <c r="B59" t="s">
        <v>217</v>
      </c>
    </row>
    <row r="60" spans="2:13" x14ac:dyDescent="0.3">
      <c r="B60" t="s">
        <v>218</v>
      </c>
    </row>
    <row r="61" spans="2:13" x14ac:dyDescent="0.3">
      <c r="B61" t="s">
        <v>219</v>
      </c>
    </row>
    <row r="62" spans="2:13" x14ac:dyDescent="0.3">
      <c r="B62" t="s">
        <v>220</v>
      </c>
    </row>
    <row r="63" spans="2:13" x14ac:dyDescent="0.3">
      <c r="B63" t="s">
        <v>221</v>
      </c>
    </row>
    <row r="66" spans="2:15" x14ac:dyDescent="0.3">
      <c r="B66" t="s">
        <v>85</v>
      </c>
      <c r="K66" t="s">
        <v>201</v>
      </c>
    </row>
    <row r="68" spans="2:15" x14ac:dyDescent="0.3">
      <c r="B68" t="s">
        <v>159</v>
      </c>
      <c r="K68" t="s">
        <v>159</v>
      </c>
    </row>
    <row r="69" spans="2:15" x14ac:dyDescent="0.3">
      <c r="C69" t="s">
        <v>27</v>
      </c>
      <c r="D69" t="s">
        <v>30</v>
      </c>
      <c r="E69" t="s">
        <v>35</v>
      </c>
      <c r="F69" t="s">
        <v>36</v>
      </c>
      <c r="L69" s="52" t="s">
        <v>27</v>
      </c>
      <c r="M69" t="s">
        <v>30</v>
      </c>
      <c r="N69" t="s">
        <v>35</v>
      </c>
      <c r="O69" t="s">
        <v>36</v>
      </c>
    </row>
    <row r="70" spans="2:15" x14ac:dyDescent="0.3">
      <c r="B70" t="s">
        <v>27</v>
      </c>
      <c r="C70" s="52">
        <v>1</v>
      </c>
      <c r="D70" s="52">
        <v>3</v>
      </c>
      <c r="E70" s="52">
        <v>0.2</v>
      </c>
      <c r="F70" s="52">
        <v>4</v>
      </c>
      <c r="K70" t="s">
        <v>27</v>
      </c>
      <c r="L70">
        <v>0</v>
      </c>
      <c r="M70">
        <v>4</v>
      </c>
      <c r="N70">
        <v>-4</v>
      </c>
      <c r="O70">
        <v>4</v>
      </c>
    </row>
    <row r="71" spans="2:15" x14ac:dyDescent="0.3">
      <c r="B71" t="s">
        <v>30</v>
      </c>
      <c r="C71" s="52">
        <v>0.33333333333333331</v>
      </c>
      <c r="D71" s="52">
        <v>1</v>
      </c>
      <c r="E71" s="52">
        <v>0.14285714285714285</v>
      </c>
      <c r="F71" s="52">
        <v>2</v>
      </c>
      <c r="K71" t="s">
        <v>30</v>
      </c>
      <c r="L71">
        <v>-4</v>
      </c>
      <c r="M71">
        <v>0</v>
      </c>
      <c r="N71">
        <v>-6</v>
      </c>
      <c r="O71">
        <v>2</v>
      </c>
    </row>
    <row r="72" spans="2:15" x14ac:dyDescent="0.3">
      <c r="B72" t="s">
        <v>35</v>
      </c>
      <c r="C72" s="52">
        <v>5</v>
      </c>
      <c r="D72" s="52">
        <v>7</v>
      </c>
      <c r="E72" s="52">
        <v>1</v>
      </c>
      <c r="F72" s="52">
        <v>9</v>
      </c>
      <c r="K72" t="s">
        <v>35</v>
      </c>
      <c r="L72">
        <v>4</v>
      </c>
      <c r="M72">
        <v>6</v>
      </c>
      <c r="N72">
        <v>0</v>
      </c>
      <c r="O72">
        <v>6</v>
      </c>
    </row>
    <row r="73" spans="2:15" x14ac:dyDescent="0.3">
      <c r="B73" t="s">
        <v>36</v>
      </c>
      <c r="C73" s="52">
        <v>0.25</v>
      </c>
      <c r="D73" s="52">
        <v>0.5</v>
      </c>
      <c r="E73" s="52">
        <v>0.1111111111111111</v>
      </c>
      <c r="F73" s="52">
        <v>1</v>
      </c>
      <c r="K73" t="s">
        <v>36</v>
      </c>
      <c r="L73">
        <v>-4</v>
      </c>
      <c r="M73">
        <v>-2</v>
      </c>
      <c r="N73">
        <v>-6</v>
      </c>
      <c r="O73">
        <v>0</v>
      </c>
    </row>
    <row r="74" spans="2:15" x14ac:dyDescent="0.3">
      <c r="B74" t="s">
        <v>224</v>
      </c>
      <c r="C74" s="52">
        <f>SUM(C70:C73)</f>
        <v>6.583333333333333</v>
      </c>
      <c r="D74" s="52">
        <f>SUM(D70:D73)</f>
        <v>11.5</v>
      </c>
      <c r="E74" s="52">
        <f>SUM(E70:E73)</f>
        <v>1.4539682539682541</v>
      </c>
      <c r="F74" s="52">
        <f>SUM(F70:F73)</f>
        <v>16</v>
      </c>
    </row>
    <row r="76" spans="2:15" x14ac:dyDescent="0.3">
      <c r="B76" t="s">
        <v>160</v>
      </c>
      <c r="K76" t="s">
        <v>160</v>
      </c>
    </row>
    <row r="77" spans="2:15" x14ac:dyDescent="0.3">
      <c r="C77" t="s">
        <v>27</v>
      </c>
      <c r="D77" t="s">
        <v>30</v>
      </c>
      <c r="E77" t="s">
        <v>35</v>
      </c>
      <c r="F77" t="s">
        <v>36</v>
      </c>
      <c r="L77" t="s">
        <v>27</v>
      </c>
      <c r="M77" t="s">
        <v>30</v>
      </c>
      <c r="N77" t="s">
        <v>35</v>
      </c>
      <c r="O77" t="s">
        <v>36</v>
      </c>
    </row>
    <row r="78" spans="2:15" x14ac:dyDescent="0.3">
      <c r="B78" t="s">
        <v>27</v>
      </c>
      <c r="C78" s="52">
        <v>1</v>
      </c>
      <c r="D78" s="52">
        <v>4</v>
      </c>
      <c r="E78" s="52">
        <v>7</v>
      </c>
      <c r="F78" s="52">
        <v>5</v>
      </c>
      <c r="K78" t="s">
        <v>27</v>
      </c>
      <c r="L78">
        <v>0</v>
      </c>
      <c r="M78">
        <v>4</v>
      </c>
      <c r="N78">
        <v>6</v>
      </c>
      <c r="O78">
        <v>4</v>
      </c>
    </row>
    <row r="79" spans="2:15" x14ac:dyDescent="0.3">
      <c r="B79" t="s">
        <v>30</v>
      </c>
      <c r="C79" s="52">
        <v>0.25</v>
      </c>
      <c r="D79" s="52">
        <v>1</v>
      </c>
      <c r="E79" s="52">
        <v>3</v>
      </c>
      <c r="F79" s="52">
        <v>0.33333333333333331</v>
      </c>
      <c r="K79" t="s">
        <v>30</v>
      </c>
      <c r="L79">
        <v>-4</v>
      </c>
      <c r="M79">
        <v>0</v>
      </c>
      <c r="N79">
        <v>2</v>
      </c>
      <c r="O79">
        <v>-4</v>
      </c>
    </row>
    <row r="80" spans="2:15" x14ac:dyDescent="0.3">
      <c r="B80" t="s">
        <v>35</v>
      </c>
      <c r="C80" s="52">
        <v>0.14285714285714285</v>
      </c>
      <c r="D80" s="52">
        <v>0.33333333333333331</v>
      </c>
      <c r="E80" s="52">
        <v>1</v>
      </c>
      <c r="F80" s="52">
        <v>0.2</v>
      </c>
      <c r="K80" t="s">
        <v>35</v>
      </c>
      <c r="L80">
        <v>-6</v>
      </c>
      <c r="M80">
        <v>-2</v>
      </c>
      <c r="N80">
        <v>0</v>
      </c>
      <c r="O80">
        <v>-4</v>
      </c>
    </row>
    <row r="81" spans="2:15" x14ac:dyDescent="0.3">
      <c r="B81" t="s">
        <v>36</v>
      </c>
      <c r="C81" s="52">
        <v>0.2</v>
      </c>
      <c r="D81" s="52">
        <v>3</v>
      </c>
      <c r="E81" s="52">
        <v>5</v>
      </c>
      <c r="F81" s="52">
        <v>1</v>
      </c>
      <c r="K81" t="s">
        <v>36</v>
      </c>
      <c r="L81">
        <v>-4</v>
      </c>
      <c r="M81">
        <v>4</v>
      </c>
      <c r="N81">
        <v>4</v>
      </c>
      <c r="O81">
        <v>0</v>
      </c>
    </row>
    <row r="82" spans="2:15" x14ac:dyDescent="0.3">
      <c r="B82" t="s">
        <v>224</v>
      </c>
      <c r="C82" s="52">
        <f>SUM(C78:C81)</f>
        <v>1.5928571428571427</v>
      </c>
      <c r="D82" s="52">
        <f>SUM(D78:D81)</f>
        <v>8.3333333333333321</v>
      </c>
      <c r="E82" s="52">
        <f>SUM(E78:E81)</f>
        <v>16</v>
      </c>
      <c r="F82" s="52">
        <f>SUM(F78:F81)</f>
        <v>6.5333333333333332</v>
      </c>
    </row>
  </sheetData>
  <mergeCells count="3">
    <mergeCell ref="W2:AA7"/>
    <mergeCell ref="W10:AA15"/>
    <mergeCell ref="C2:F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03581-0D4B-4240-9FC6-C6D776834C9A}">
  <sheetPr>
    <tabColor theme="5"/>
  </sheetPr>
  <dimension ref="B2:N113"/>
  <sheetViews>
    <sheetView topLeftCell="D1" zoomScale="70" zoomScaleNormal="70" workbookViewId="0">
      <selection activeCell="D5" sqref="D5"/>
    </sheetView>
  </sheetViews>
  <sheetFormatPr defaultRowHeight="14.4" x14ac:dyDescent="0.3"/>
  <cols>
    <col min="3" max="3" width="103.77734375" bestFit="1" customWidth="1"/>
    <col min="4" max="4" width="82.21875" bestFit="1" customWidth="1"/>
    <col min="5" max="5" width="13" bestFit="1" customWidth="1"/>
    <col min="6" max="6" width="18.77734375" customWidth="1"/>
    <col min="7" max="7" width="26.109375" bestFit="1" customWidth="1"/>
    <col min="8" max="8" width="23.109375" bestFit="1" customWidth="1"/>
    <col min="9" max="9" width="16.21875" bestFit="1" customWidth="1"/>
    <col min="10" max="10" width="17.77734375" customWidth="1"/>
  </cols>
  <sheetData>
    <row r="2" spans="2:14" x14ac:dyDescent="0.3">
      <c r="I2" s="44" t="s">
        <v>85</v>
      </c>
    </row>
    <row r="3" spans="2:14" x14ac:dyDescent="0.3">
      <c r="B3" t="s">
        <v>70</v>
      </c>
      <c r="C3" t="s">
        <v>73</v>
      </c>
      <c r="D3" t="s">
        <v>89</v>
      </c>
      <c r="I3" t="s">
        <v>86</v>
      </c>
    </row>
    <row r="4" spans="2:14" x14ac:dyDescent="0.3">
      <c r="B4" t="s">
        <v>71</v>
      </c>
      <c r="C4" t="s">
        <v>74</v>
      </c>
      <c r="D4" t="s">
        <v>108</v>
      </c>
      <c r="F4" t="s">
        <v>111</v>
      </c>
      <c r="J4" t="s">
        <v>27</v>
      </c>
      <c r="K4" t="s">
        <v>30</v>
      </c>
      <c r="L4" t="s">
        <v>35</v>
      </c>
      <c r="M4" t="s">
        <v>36</v>
      </c>
      <c r="N4" s="51" t="s">
        <v>158</v>
      </c>
    </row>
    <row r="5" spans="2:14" x14ac:dyDescent="0.3">
      <c r="B5" t="s">
        <v>72</v>
      </c>
      <c r="C5" t="s">
        <v>75</v>
      </c>
      <c r="D5" s="74" t="s">
        <v>122</v>
      </c>
      <c r="I5" t="s">
        <v>27</v>
      </c>
      <c r="J5">
        <v>1</v>
      </c>
      <c r="K5">
        <v>2</v>
      </c>
      <c r="L5">
        <f>1/3</f>
        <v>0.33333333333333331</v>
      </c>
      <c r="M5">
        <v>5</v>
      </c>
      <c r="N5">
        <f>'MCDA - AHP'!W17</f>
        <v>8.1734340299902897E-2</v>
      </c>
    </row>
    <row r="6" spans="2:14" x14ac:dyDescent="0.3">
      <c r="I6" t="s">
        <v>30</v>
      </c>
      <c r="J6">
        <f>1/K5</f>
        <v>0.5</v>
      </c>
      <c r="K6">
        <v>1</v>
      </c>
      <c r="L6">
        <f>1/4</f>
        <v>0.25</v>
      </c>
      <c r="M6">
        <v>5</v>
      </c>
    </row>
    <row r="7" spans="2:14" x14ac:dyDescent="0.3">
      <c r="C7" t="s">
        <v>76</v>
      </c>
      <c r="I7" t="s">
        <v>35</v>
      </c>
      <c r="J7">
        <f>1/L5</f>
        <v>3</v>
      </c>
      <c r="K7">
        <f>1/L6</f>
        <v>4</v>
      </c>
      <c r="L7">
        <v>1</v>
      </c>
      <c r="M7">
        <v>7</v>
      </c>
    </row>
    <row r="8" spans="2:14" x14ac:dyDescent="0.3">
      <c r="B8" t="s">
        <v>77</v>
      </c>
      <c r="C8" s="43" t="s">
        <v>81</v>
      </c>
      <c r="I8" t="s">
        <v>36</v>
      </c>
      <c r="J8">
        <f>1/M5</f>
        <v>0.2</v>
      </c>
      <c r="K8">
        <f>1/M6</f>
        <v>0.2</v>
      </c>
      <c r="L8">
        <f>1/M7</f>
        <v>0.14285714285714285</v>
      </c>
      <c r="M8">
        <v>1</v>
      </c>
    </row>
    <row r="9" spans="2:14" x14ac:dyDescent="0.3">
      <c r="B9" t="s">
        <v>78</v>
      </c>
      <c r="C9" s="43" t="s">
        <v>82</v>
      </c>
    </row>
    <row r="10" spans="2:14" x14ac:dyDescent="0.3">
      <c r="B10" t="s">
        <v>79</v>
      </c>
      <c r="C10" s="43" t="s">
        <v>83</v>
      </c>
      <c r="I10" t="s">
        <v>87</v>
      </c>
    </row>
    <row r="11" spans="2:14" x14ac:dyDescent="0.3">
      <c r="B11" t="s">
        <v>80</v>
      </c>
      <c r="C11" s="43" t="s">
        <v>84</v>
      </c>
      <c r="J11" t="s">
        <v>27</v>
      </c>
      <c r="K11" t="s">
        <v>30</v>
      </c>
      <c r="L11" t="s">
        <v>35</v>
      </c>
      <c r="M11" t="s">
        <v>36</v>
      </c>
      <c r="N11" t="s">
        <v>158</v>
      </c>
    </row>
    <row r="12" spans="2:14" x14ac:dyDescent="0.3">
      <c r="I12" t="s">
        <v>27</v>
      </c>
      <c r="J12">
        <v>1</v>
      </c>
      <c r="K12">
        <v>2</v>
      </c>
      <c r="L12">
        <v>3</v>
      </c>
      <c r="M12">
        <v>5</v>
      </c>
      <c r="N12">
        <f>'MCDA - AHP'!W35</f>
        <v>8.9737403006282968E-2</v>
      </c>
    </row>
    <row r="13" spans="2:14" x14ac:dyDescent="0.3">
      <c r="I13" t="s">
        <v>30</v>
      </c>
      <c r="J13">
        <f>1/K12</f>
        <v>0.5</v>
      </c>
      <c r="K13">
        <v>1</v>
      </c>
      <c r="L13">
        <v>3</v>
      </c>
      <c r="M13">
        <v>5</v>
      </c>
    </row>
    <row r="14" spans="2:14" x14ac:dyDescent="0.3">
      <c r="I14" t="s">
        <v>35</v>
      </c>
      <c r="J14">
        <f>1/L12</f>
        <v>0.33333333333333331</v>
      </c>
      <c r="K14">
        <f>1/L13</f>
        <v>0.33333333333333331</v>
      </c>
      <c r="L14">
        <v>1</v>
      </c>
      <c r="M14">
        <v>4</v>
      </c>
    </row>
    <row r="15" spans="2:14" x14ac:dyDescent="0.3">
      <c r="I15" t="s">
        <v>36</v>
      </c>
      <c r="J15">
        <f>1/M12</f>
        <v>0.2</v>
      </c>
      <c r="K15">
        <f>1/M13</f>
        <v>0.2</v>
      </c>
      <c r="L15">
        <f>1/M14</f>
        <v>0.25</v>
      </c>
      <c r="M15">
        <v>1</v>
      </c>
    </row>
    <row r="17" spans="9:13" x14ac:dyDescent="0.3">
      <c r="I17" s="44" t="s">
        <v>88</v>
      </c>
    </row>
    <row r="18" spans="9:13" x14ac:dyDescent="0.3">
      <c r="I18" t="s">
        <v>86</v>
      </c>
    </row>
    <row r="19" spans="9:13" x14ac:dyDescent="0.3">
      <c r="J19" t="s">
        <v>27</v>
      </c>
      <c r="K19" t="s">
        <v>30</v>
      </c>
      <c r="L19" t="s">
        <v>35</v>
      </c>
      <c r="M19" t="s">
        <v>36</v>
      </c>
    </row>
    <row r="20" spans="9:13" x14ac:dyDescent="0.3">
      <c r="I20" t="s">
        <v>27</v>
      </c>
      <c r="J20">
        <v>0</v>
      </c>
      <c r="K20">
        <v>4</v>
      </c>
      <c r="L20">
        <v>-4</v>
      </c>
      <c r="M20">
        <v>6</v>
      </c>
    </row>
    <row r="21" spans="9:13" x14ac:dyDescent="0.3">
      <c r="I21" t="s">
        <v>30</v>
      </c>
      <c r="J21">
        <f>-K20</f>
        <v>-4</v>
      </c>
      <c r="K21">
        <v>0</v>
      </c>
      <c r="L21">
        <v>-2</v>
      </c>
      <c r="M21">
        <v>6</v>
      </c>
    </row>
    <row r="22" spans="9:13" x14ac:dyDescent="0.3">
      <c r="I22" t="s">
        <v>35</v>
      </c>
      <c r="J22">
        <f>-L20</f>
        <v>4</v>
      </c>
      <c r="K22">
        <f>-L21</f>
        <v>2</v>
      </c>
      <c r="L22">
        <v>0</v>
      </c>
      <c r="M22">
        <v>6</v>
      </c>
    </row>
    <row r="23" spans="9:13" x14ac:dyDescent="0.3">
      <c r="I23" t="s">
        <v>36</v>
      </c>
      <c r="J23">
        <f>-M20</f>
        <v>-6</v>
      </c>
      <c r="K23">
        <f>-M21</f>
        <v>-6</v>
      </c>
      <c r="L23">
        <f>-M22</f>
        <v>-6</v>
      </c>
      <c r="M23">
        <v>0</v>
      </c>
    </row>
    <row r="25" spans="9:13" x14ac:dyDescent="0.3">
      <c r="I25" t="s">
        <v>87</v>
      </c>
    </row>
    <row r="26" spans="9:13" x14ac:dyDescent="0.3">
      <c r="J26" t="s">
        <v>27</v>
      </c>
      <c r="K26" t="s">
        <v>30</v>
      </c>
      <c r="L26" t="s">
        <v>35</v>
      </c>
      <c r="M26" t="s">
        <v>36</v>
      </c>
    </row>
    <row r="27" spans="9:13" x14ac:dyDescent="0.3">
      <c r="I27" t="s">
        <v>27</v>
      </c>
      <c r="J27">
        <v>0</v>
      </c>
      <c r="K27">
        <v>2</v>
      </c>
      <c r="L27">
        <v>4</v>
      </c>
      <c r="M27">
        <v>6</v>
      </c>
    </row>
    <row r="28" spans="9:13" x14ac:dyDescent="0.3">
      <c r="I28" t="s">
        <v>30</v>
      </c>
      <c r="J28">
        <f>-K27</f>
        <v>-2</v>
      </c>
      <c r="K28">
        <v>0</v>
      </c>
      <c r="L28">
        <v>4</v>
      </c>
      <c r="M28">
        <v>6</v>
      </c>
    </row>
    <row r="29" spans="9:13" x14ac:dyDescent="0.3">
      <c r="I29" t="s">
        <v>35</v>
      </c>
      <c r="J29">
        <f>-L27</f>
        <v>-4</v>
      </c>
      <c r="K29">
        <f>-L28</f>
        <v>-4</v>
      </c>
      <c r="L29">
        <v>0</v>
      </c>
      <c r="M29">
        <v>6</v>
      </c>
    </row>
    <row r="30" spans="9:13" x14ac:dyDescent="0.3">
      <c r="I30" t="s">
        <v>36</v>
      </c>
      <c r="J30">
        <f>-M27</f>
        <v>-6</v>
      </c>
      <c r="K30">
        <f>-M28</f>
        <v>-6</v>
      </c>
      <c r="L30">
        <f>-M29</f>
        <v>-6</v>
      </c>
      <c r="M30">
        <v>0</v>
      </c>
    </row>
    <row r="43" spans="2:4" x14ac:dyDescent="0.3">
      <c r="B43" t="s">
        <v>85</v>
      </c>
      <c r="D43" t="s">
        <v>88</v>
      </c>
    </row>
    <row r="66" spans="2:11" x14ac:dyDescent="0.3">
      <c r="B66" t="s">
        <v>70</v>
      </c>
      <c r="C66" t="s">
        <v>71</v>
      </c>
    </row>
    <row r="67" spans="2:11" x14ac:dyDescent="0.3">
      <c r="B67" t="s">
        <v>27</v>
      </c>
      <c r="C67" t="s">
        <v>90</v>
      </c>
    </row>
    <row r="68" spans="2:11" x14ac:dyDescent="0.3">
      <c r="B68" t="s">
        <v>30</v>
      </c>
      <c r="C68" t="s">
        <v>97</v>
      </c>
    </row>
    <row r="69" spans="2:11" x14ac:dyDescent="0.3">
      <c r="B69" t="s">
        <v>35</v>
      </c>
      <c r="C69" t="s">
        <v>91</v>
      </c>
    </row>
    <row r="70" spans="2:11" x14ac:dyDescent="0.3">
      <c r="B70" t="s">
        <v>36</v>
      </c>
      <c r="C70" t="s">
        <v>92</v>
      </c>
    </row>
    <row r="72" spans="2:11" x14ac:dyDescent="0.3">
      <c r="C72" t="s">
        <v>99</v>
      </c>
      <c r="D72" t="s">
        <v>93</v>
      </c>
      <c r="E72" t="s">
        <v>94</v>
      </c>
      <c r="F72" t="s">
        <v>98</v>
      </c>
      <c r="G72" t="s">
        <v>95</v>
      </c>
      <c r="H72" t="s">
        <v>96</v>
      </c>
      <c r="I72" t="s">
        <v>112</v>
      </c>
      <c r="J72" t="s">
        <v>113</v>
      </c>
      <c r="K72" t="s">
        <v>118</v>
      </c>
    </row>
    <row r="73" spans="2:11" x14ac:dyDescent="0.3">
      <c r="B73" t="s">
        <v>27</v>
      </c>
      <c r="C73" t="s">
        <v>109</v>
      </c>
      <c r="D73">
        <v>0</v>
      </c>
      <c r="E73">
        <v>55</v>
      </c>
      <c r="F73">
        <v>0</v>
      </c>
      <c r="G73">
        <v>293</v>
      </c>
      <c r="H73">
        <v>326</v>
      </c>
      <c r="I73">
        <f>G73+H73</f>
        <v>619</v>
      </c>
      <c r="J73">
        <f>E73+F73</f>
        <v>55</v>
      </c>
      <c r="K73">
        <f>I73+(J73*1.7)</f>
        <v>712.5</v>
      </c>
    </row>
    <row r="74" spans="2:11" x14ac:dyDescent="0.3">
      <c r="B74" t="s">
        <v>30</v>
      </c>
      <c r="D74">
        <v>456</v>
      </c>
      <c r="E74">
        <v>52</v>
      </c>
      <c r="F74">
        <v>0</v>
      </c>
      <c r="G74">
        <v>850</v>
      </c>
      <c r="H74">
        <v>931</v>
      </c>
      <c r="I74">
        <f t="shared" ref="I74:I76" si="0">G74+H74</f>
        <v>1781</v>
      </c>
      <c r="J74">
        <f t="shared" ref="J74:J76" si="1">E74+F74</f>
        <v>52</v>
      </c>
      <c r="K74">
        <f t="shared" ref="K74:K76" si="2">I74+(J74*1.7)</f>
        <v>1869.4</v>
      </c>
    </row>
    <row r="75" spans="2:11" x14ac:dyDescent="0.3">
      <c r="B75" t="s">
        <v>35</v>
      </c>
      <c r="C75" t="s">
        <v>110</v>
      </c>
      <c r="D75">
        <v>19</v>
      </c>
      <c r="E75">
        <v>19</v>
      </c>
      <c r="F75">
        <v>0</v>
      </c>
      <c r="G75">
        <v>358</v>
      </c>
      <c r="H75">
        <v>490</v>
      </c>
      <c r="I75">
        <f t="shared" si="0"/>
        <v>848</v>
      </c>
      <c r="J75">
        <f t="shared" si="1"/>
        <v>19</v>
      </c>
      <c r="K75">
        <f t="shared" si="2"/>
        <v>880.3</v>
      </c>
    </row>
    <row r="76" spans="2:11" x14ac:dyDescent="0.3">
      <c r="B76" t="s">
        <v>36</v>
      </c>
      <c r="D76">
        <v>0</v>
      </c>
      <c r="E76">
        <v>0</v>
      </c>
      <c r="F76">
        <v>625</v>
      </c>
      <c r="G76">
        <v>130</v>
      </c>
      <c r="H76">
        <v>246</v>
      </c>
      <c r="I76">
        <f t="shared" si="0"/>
        <v>376</v>
      </c>
      <c r="J76">
        <f t="shared" si="1"/>
        <v>625</v>
      </c>
      <c r="K76">
        <f t="shared" si="2"/>
        <v>1438.5</v>
      </c>
    </row>
    <row r="78" spans="2:11" x14ac:dyDescent="0.3">
      <c r="C78" t="s">
        <v>100</v>
      </c>
      <c r="D78" t="s">
        <v>101</v>
      </c>
      <c r="E78" t="s">
        <v>102</v>
      </c>
    </row>
    <row r="79" spans="2:11" x14ac:dyDescent="0.3">
      <c r="B79">
        <v>1</v>
      </c>
      <c r="C79" t="s">
        <v>104</v>
      </c>
      <c r="D79" t="s">
        <v>105</v>
      </c>
      <c r="E79" s="74" t="s">
        <v>103</v>
      </c>
    </row>
    <row r="80" spans="2:11" x14ac:dyDescent="0.3">
      <c r="B80">
        <v>2</v>
      </c>
      <c r="C80" t="s">
        <v>106</v>
      </c>
      <c r="D80" t="s">
        <v>107</v>
      </c>
      <c r="E80" t="s">
        <v>117</v>
      </c>
    </row>
    <row r="81" spans="2:10" x14ac:dyDescent="0.3">
      <c r="B81">
        <v>3</v>
      </c>
      <c r="C81" t="s">
        <v>114</v>
      </c>
      <c r="D81" t="s">
        <v>115</v>
      </c>
      <c r="E81" t="s">
        <v>116</v>
      </c>
    </row>
    <row r="83" spans="2:10" x14ac:dyDescent="0.3">
      <c r="C83" t="s">
        <v>119</v>
      </c>
      <c r="D83" t="s">
        <v>120</v>
      </c>
      <c r="E83" t="s">
        <v>123</v>
      </c>
    </row>
    <row r="84" spans="2:10" x14ac:dyDescent="0.3">
      <c r="B84" t="s">
        <v>70</v>
      </c>
    </row>
    <row r="85" spans="2:10" x14ac:dyDescent="0.3">
      <c r="B85" t="s">
        <v>27</v>
      </c>
      <c r="C85" t="s">
        <v>124</v>
      </c>
      <c r="D85" t="s">
        <v>121</v>
      </c>
    </row>
    <row r="86" spans="2:10" x14ac:dyDescent="0.3">
      <c r="B86" t="s">
        <v>30</v>
      </c>
      <c r="C86" t="s">
        <v>125</v>
      </c>
    </row>
    <row r="87" spans="2:10" x14ac:dyDescent="0.3">
      <c r="B87" t="s">
        <v>35</v>
      </c>
      <c r="C87" t="s">
        <v>126</v>
      </c>
    </row>
    <row r="88" spans="2:10" x14ac:dyDescent="0.3">
      <c r="B88" t="s">
        <v>36</v>
      </c>
      <c r="C88" t="s">
        <v>127</v>
      </c>
    </row>
    <row r="90" spans="2:10" x14ac:dyDescent="0.3">
      <c r="C90" t="s">
        <v>128</v>
      </c>
      <c r="D90" t="s">
        <v>134</v>
      </c>
    </row>
    <row r="91" spans="2:10" x14ac:dyDescent="0.3">
      <c r="B91" t="s">
        <v>27</v>
      </c>
      <c r="C91" t="s">
        <v>129</v>
      </c>
      <c r="D91">
        <v>0.4</v>
      </c>
      <c r="G91" t="s">
        <v>26</v>
      </c>
      <c r="H91" t="s">
        <v>150</v>
      </c>
      <c r="I91" t="s">
        <v>151</v>
      </c>
      <c r="J91" t="s">
        <v>38</v>
      </c>
    </row>
    <row r="92" spans="2:10" x14ac:dyDescent="0.3">
      <c r="C92" t="s">
        <v>130</v>
      </c>
      <c r="D92">
        <v>0.3</v>
      </c>
      <c r="F92" t="s">
        <v>27</v>
      </c>
      <c r="G92" s="45">
        <f>AVERAGE($D$91:$D$95)</f>
        <v>0.27999999999999997</v>
      </c>
      <c r="H92" s="45">
        <f>MIN($D$91:$D$95)</f>
        <v>0.2</v>
      </c>
      <c r="I92" s="45">
        <f>MAX($D$91:$D$95)</f>
        <v>0.4</v>
      </c>
      <c r="J92">
        <v>1</v>
      </c>
    </row>
    <row r="93" spans="2:10" x14ac:dyDescent="0.3">
      <c r="C93" t="s">
        <v>131</v>
      </c>
      <c r="D93">
        <v>0.3</v>
      </c>
      <c r="F93" t="s">
        <v>30</v>
      </c>
      <c r="G93" s="45">
        <f>AVERAGE($D$96:$D$101)</f>
        <v>0.30000000000000004</v>
      </c>
      <c r="H93" s="45">
        <f>MIN($D$96:$D$101)</f>
        <v>0.2</v>
      </c>
      <c r="I93" s="45">
        <f>MAX($D$96:$D$101)</f>
        <v>0.35</v>
      </c>
      <c r="J93">
        <v>2</v>
      </c>
    </row>
    <row r="94" spans="2:10" x14ac:dyDescent="0.3">
      <c r="C94" t="s">
        <v>132</v>
      </c>
      <c r="D94">
        <v>0.2</v>
      </c>
      <c r="F94" t="s">
        <v>35</v>
      </c>
      <c r="G94" s="45">
        <f>AVERAGE($D$102:$D$107)</f>
        <v>0.30833333333333335</v>
      </c>
      <c r="H94" s="45">
        <f>MIN($D$102:$D$107)</f>
        <v>0.25</v>
      </c>
      <c r="I94" s="45">
        <f>MAX($D$102:$D$107)</f>
        <v>0.35</v>
      </c>
      <c r="J94">
        <v>3</v>
      </c>
    </row>
    <row r="95" spans="2:10" x14ac:dyDescent="0.3">
      <c r="C95" t="s">
        <v>133</v>
      </c>
      <c r="D95">
        <v>0.2</v>
      </c>
      <c r="F95" t="s">
        <v>36</v>
      </c>
      <c r="G95" s="45">
        <f>AVERAGE($D$108:$D$110)</f>
        <v>0.3666666666666667</v>
      </c>
      <c r="H95" s="45">
        <f>MIN($D$108:$D$110)</f>
        <v>0.35</v>
      </c>
      <c r="I95" s="45">
        <f>MAX($D$108:$D$110)</f>
        <v>0.4</v>
      </c>
      <c r="J95">
        <v>4</v>
      </c>
    </row>
    <row r="96" spans="2:10" x14ac:dyDescent="0.3">
      <c r="B96" t="s">
        <v>30</v>
      </c>
      <c r="C96" t="s">
        <v>135</v>
      </c>
      <c r="D96">
        <v>0.2</v>
      </c>
    </row>
    <row r="97" spans="2:4" x14ac:dyDescent="0.3">
      <c r="C97" t="s">
        <v>136</v>
      </c>
      <c r="D97">
        <v>0.3</v>
      </c>
    </row>
    <row r="98" spans="2:4" x14ac:dyDescent="0.3">
      <c r="C98" t="s">
        <v>137</v>
      </c>
      <c r="D98">
        <v>0.35</v>
      </c>
    </row>
    <row r="99" spans="2:4" x14ac:dyDescent="0.3">
      <c r="C99" t="s">
        <v>138</v>
      </c>
      <c r="D99">
        <v>0.25</v>
      </c>
    </row>
    <row r="100" spans="2:4" x14ac:dyDescent="0.3">
      <c r="C100" t="s">
        <v>139</v>
      </c>
      <c r="D100">
        <v>0.35</v>
      </c>
    </row>
    <row r="101" spans="2:4" x14ac:dyDescent="0.3">
      <c r="C101" t="s">
        <v>140</v>
      </c>
      <c r="D101">
        <v>0.35</v>
      </c>
    </row>
    <row r="102" spans="2:4" x14ac:dyDescent="0.3">
      <c r="B102" t="s">
        <v>35</v>
      </c>
      <c r="C102" t="s">
        <v>141</v>
      </c>
      <c r="D102">
        <v>0.3</v>
      </c>
    </row>
    <row r="103" spans="2:4" x14ac:dyDescent="0.3">
      <c r="C103" t="s">
        <v>142</v>
      </c>
      <c r="D103">
        <v>0.25</v>
      </c>
    </row>
    <row r="104" spans="2:4" x14ac:dyDescent="0.3">
      <c r="C104" t="s">
        <v>143</v>
      </c>
      <c r="D104">
        <v>0.25</v>
      </c>
    </row>
    <row r="105" spans="2:4" x14ac:dyDescent="0.3">
      <c r="C105" t="s">
        <v>144</v>
      </c>
      <c r="D105">
        <v>0.35</v>
      </c>
    </row>
    <row r="106" spans="2:4" x14ac:dyDescent="0.3">
      <c r="C106" t="s">
        <v>145</v>
      </c>
      <c r="D106">
        <v>0.35</v>
      </c>
    </row>
    <row r="107" spans="2:4" x14ac:dyDescent="0.3">
      <c r="C107" t="s">
        <v>146</v>
      </c>
      <c r="D107">
        <v>0.35</v>
      </c>
    </row>
    <row r="108" spans="2:4" x14ac:dyDescent="0.3">
      <c r="B108" t="s">
        <v>36</v>
      </c>
      <c r="C108" t="s">
        <v>147</v>
      </c>
      <c r="D108">
        <v>0.35</v>
      </c>
    </row>
    <row r="109" spans="2:4" x14ac:dyDescent="0.3">
      <c r="C109" t="s">
        <v>148</v>
      </c>
      <c r="D109">
        <v>0.35</v>
      </c>
    </row>
    <row r="110" spans="2:4" x14ac:dyDescent="0.3">
      <c r="C110" t="s">
        <v>149</v>
      </c>
      <c r="D110">
        <v>0.4</v>
      </c>
    </row>
    <row r="113" spans="3:3" x14ac:dyDescent="0.3">
      <c r="C113" t="s">
        <v>152</v>
      </c>
    </row>
  </sheetData>
  <hyperlinks>
    <hyperlink ref="E79" r:id="rId1" xr:uid="{AC18CB47-27D9-4A50-974C-4115C11BBA99}"/>
    <hyperlink ref="D5" r:id="rId2" location="d1e381" xr:uid="{C1C3761C-F78D-4D5D-AA57-4B018B359385}"/>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7430-9D85-48E2-892B-FF14D2F7DE8C}">
  <sheetPr>
    <tabColor theme="8"/>
  </sheetPr>
  <dimension ref="B2:AM73"/>
  <sheetViews>
    <sheetView topLeftCell="A10" zoomScale="70" zoomScaleNormal="70" workbookViewId="0">
      <selection activeCell="AC16" sqref="AC16"/>
    </sheetView>
  </sheetViews>
  <sheetFormatPr defaultRowHeight="14.4" x14ac:dyDescent="0.3"/>
  <sheetData>
    <row r="2" spans="2:15" x14ac:dyDescent="0.3">
      <c r="B2" t="s">
        <v>76</v>
      </c>
      <c r="H2" t="s">
        <v>168</v>
      </c>
    </row>
    <row r="3" spans="2:15" x14ac:dyDescent="0.3">
      <c r="B3" t="s">
        <v>173</v>
      </c>
      <c r="C3" s="48" t="s">
        <v>81</v>
      </c>
      <c r="H3" t="s">
        <v>169</v>
      </c>
      <c r="I3" t="s">
        <v>171</v>
      </c>
    </row>
    <row r="4" spans="2:15" x14ac:dyDescent="0.3">
      <c r="B4" t="s">
        <v>174</v>
      </c>
      <c r="C4" s="48" t="s">
        <v>82</v>
      </c>
      <c r="H4" t="s">
        <v>170</v>
      </c>
      <c r="I4" t="s">
        <v>172</v>
      </c>
    </row>
    <row r="5" spans="2:15" x14ac:dyDescent="0.3">
      <c r="B5" t="s">
        <v>175</v>
      </c>
      <c r="C5" s="48" t="s">
        <v>83</v>
      </c>
    </row>
    <row r="6" spans="2:15" x14ac:dyDescent="0.3">
      <c r="B6" t="s">
        <v>176</v>
      </c>
      <c r="C6" s="48" t="s">
        <v>84</v>
      </c>
    </row>
    <row r="7" spans="2:15" x14ac:dyDescent="0.3">
      <c r="N7" t="s">
        <v>173</v>
      </c>
      <c r="O7" t="s">
        <v>181</v>
      </c>
    </row>
    <row r="8" spans="2:15" x14ac:dyDescent="0.3">
      <c r="O8" t="s">
        <v>183</v>
      </c>
    </row>
    <row r="9" spans="2:15" x14ac:dyDescent="0.3">
      <c r="O9" t="s">
        <v>182</v>
      </c>
    </row>
    <row r="11" spans="2:15" x14ac:dyDescent="0.3">
      <c r="N11" t="s">
        <v>174</v>
      </c>
      <c r="O11" t="s">
        <v>184</v>
      </c>
    </row>
    <row r="12" spans="2:15" x14ac:dyDescent="0.3">
      <c r="O12" t="s">
        <v>185</v>
      </c>
    </row>
    <row r="13" spans="2:15" x14ac:dyDescent="0.3">
      <c r="O13" t="s">
        <v>186</v>
      </c>
    </row>
    <row r="15" spans="2:15" x14ac:dyDescent="0.3">
      <c r="N15" t="s">
        <v>175</v>
      </c>
      <c r="O15" t="s">
        <v>187</v>
      </c>
    </row>
    <row r="16" spans="2:15" x14ac:dyDescent="0.3">
      <c r="O16" t="s">
        <v>188</v>
      </c>
    </row>
    <row r="17" spans="14:27" x14ac:dyDescent="0.3">
      <c r="O17" t="s">
        <v>189</v>
      </c>
    </row>
    <row r="19" spans="14:27" x14ac:dyDescent="0.3">
      <c r="N19" t="s">
        <v>176</v>
      </c>
      <c r="O19" t="s">
        <v>190</v>
      </c>
    </row>
    <row r="20" spans="14:27" x14ac:dyDescent="0.3">
      <c r="O20" t="s">
        <v>191</v>
      </c>
    </row>
    <row r="23" spans="14:27" x14ac:dyDescent="0.3">
      <c r="N23" s="44" t="s">
        <v>169</v>
      </c>
      <c r="O23" s="44" t="s">
        <v>171</v>
      </c>
    </row>
    <row r="24" spans="14:27" x14ac:dyDescent="0.3">
      <c r="O24" t="s">
        <v>177</v>
      </c>
    </row>
    <row r="25" spans="14:27" x14ac:dyDescent="0.3">
      <c r="V25" s="44" t="s">
        <v>85</v>
      </c>
    </row>
    <row r="26" spans="14:27" x14ac:dyDescent="0.3">
      <c r="O26" s="44" t="s">
        <v>173</v>
      </c>
      <c r="P26" t="s">
        <v>192</v>
      </c>
      <c r="W26" t="s">
        <v>27</v>
      </c>
      <c r="X26" t="s">
        <v>30</v>
      </c>
      <c r="Y26" t="s">
        <v>35</v>
      </c>
      <c r="Z26" t="s">
        <v>36</v>
      </c>
      <c r="AA26" s="51"/>
    </row>
    <row r="27" spans="14:27" x14ac:dyDescent="0.3">
      <c r="P27" t="s">
        <v>193</v>
      </c>
      <c r="V27" t="s">
        <v>27</v>
      </c>
      <c r="W27">
        <v>1</v>
      </c>
      <c r="X27">
        <v>5</v>
      </c>
      <c r="Y27">
        <f>1/3</f>
        <v>0.33333333333333331</v>
      </c>
      <c r="Z27">
        <f>1/3</f>
        <v>0.33333333333333331</v>
      </c>
    </row>
    <row r="28" spans="14:27" x14ac:dyDescent="0.3">
      <c r="V28" t="s">
        <v>30</v>
      </c>
      <c r="W28">
        <f>1/X27</f>
        <v>0.2</v>
      </c>
      <c r="X28">
        <v>1</v>
      </c>
      <c r="Y28">
        <f>1/7</f>
        <v>0.14285714285714285</v>
      </c>
      <c r="Z28">
        <f>1/7</f>
        <v>0.14285714285714285</v>
      </c>
    </row>
    <row r="29" spans="14:27" x14ac:dyDescent="0.3">
      <c r="O29" s="44" t="s">
        <v>174</v>
      </c>
      <c r="P29" t="s">
        <v>194</v>
      </c>
      <c r="V29" t="s">
        <v>35</v>
      </c>
      <c r="W29">
        <f>1/Y27</f>
        <v>3</v>
      </c>
      <c r="X29">
        <f>1/Y28</f>
        <v>7</v>
      </c>
      <c r="Y29">
        <v>1</v>
      </c>
      <c r="Z29">
        <f>1/2</f>
        <v>0.5</v>
      </c>
    </row>
    <row r="30" spans="14:27" x14ac:dyDescent="0.3">
      <c r="P30" t="s">
        <v>195</v>
      </c>
      <c r="V30" t="s">
        <v>36</v>
      </c>
      <c r="W30">
        <f>1/Z27</f>
        <v>3</v>
      </c>
      <c r="X30">
        <f>1/Z28</f>
        <v>7</v>
      </c>
      <c r="Y30">
        <f>1/Z29</f>
        <v>2</v>
      </c>
      <c r="Z30">
        <v>1</v>
      </c>
    </row>
    <row r="31" spans="14:27" x14ac:dyDescent="0.3">
      <c r="V31" t="s">
        <v>154</v>
      </c>
      <c r="W31">
        <f>SUM(W27:W30)</f>
        <v>7.2</v>
      </c>
      <c r="X31">
        <f>SUM(X27:X30)</f>
        <v>20</v>
      </c>
      <c r="Y31">
        <f>SUM(Y27:Y30)</f>
        <v>3.4761904761904763</v>
      </c>
      <c r="Z31">
        <f>SUM(Z27:Z30)</f>
        <v>1.9761904761904763</v>
      </c>
    </row>
    <row r="32" spans="14:27" x14ac:dyDescent="0.3">
      <c r="O32" s="44" t="s">
        <v>175</v>
      </c>
      <c r="P32" t="s">
        <v>196</v>
      </c>
    </row>
    <row r="33" spans="14:29" x14ac:dyDescent="0.3">
      <c r="P33" t="s">
        <v>198</v>
      </c>
      <c r="W33" t="s">
        <v>27</v>
      </c>
      <c r="X33" t="s">
        <v>30</v>
      </c>
      <c r="Y33" t="s">
        <v>35</v>
      </c>
      <c r="Z33" t="s">
        <v>36</v>
      </c>
      <c r="AA33" t="s">
        <v>200</v>
      </c>
      <c r="AB33" t="s">
        <v>156</v>
      </c>
    </row>
    <row r="34" spans="14:29" x14ac:dyDescent="0.3">
      <c r="V34" t="s">
        <v>27</v>
      </c>
      <c r="W34">
        <f>W27/$W$31</f>
        <v>0.1388888888888889</v>
      </c>
      <c r="X34">
        <f>X27/$X$31</f>
        <v>0.25</v>
      </c>
      <c r="Y34">
        <f>Y27/$Y$31</f>
        <v>9.5890410958904104E-2</v>
      </c>
      <c r="Z34">
        <f>Z27/$Z$31</f>
        <v>0.16867469879518071</v>
      </c>
      <c r="AA34">
        <f>AVERAGE(W34:Z34)</f>
        <v>0.16336349966074343</v>
      </c>
      <c r="AB34" cm="1">
        <f t="array" ref="AB34">MMULT($W$27:$Z$27,$AA$34:$AA$37)/AA34</f>
        <v>4.0723027488178261</v>
      </c>
      <c r="AC34">
        <f>(MAX(AB34:AB37)-4)/3</f>
        <v>7.6610077087696141E-2</v>
      </c>
    </row>
    <row r="35" spans="14:29" x14ac:dyDescent="0.3">
      <c r="O35" s="44" t="s">
        <v>176</v>
      </c>
      <c r="P35" t="s">
        <v>199</v>
      </c>
      <c r="V35" t="s">
        <v>30</v>
      </c>
      <c r="W35">
        <f>W28/$W$31</f>
        <v>2.777777777777778E-2</v>
      </c>
      <c r="X35">
        <f>X28/$X$31</f>
        <v>0.05</v>
      </c>
      <c r="Y35">
        <f>Y28/$Y$31</f>
        <v>4.1095890410958902E-2</v>
      </c>
      <c r="Z35">
        <f>Z28/$Z$31</f>
        <v>7.2289156626506021E-2</v>
      </c>
      <c r="AA35">
        <f>AVERAGE(W35:Z35)</f>
        <v>4.7790706203810679E-2</v>
      </c>
      <c r="AB35" cm="1">
        <f t="array" ref="AB35">MMULT($W$28:$Z$28,$AA$34:$AA$37)/AA35</f>
        <v>4.0416992713453865</v>
      </c>
    </row>
    <row r="36" spans="14:29" x14ac:dyDescent="0.3">
      <c r="P36" t="s">
        <v>197</v>
      </c>
      <c r="V36" t="s">
        <v>35</v>
      </c>
      <c r="W36">
        <f>W29/$W$31</f>
        <v>0.41666666666666663</v>
      </c>
      <c r="X36">
        <f>X29/$X$31</f>
        <v>0.35</v>
      </c>
      <c r="Y36">
        <f>Y29/$Y$31</f>
        <v>0.28767123287671231</v>
      </c>
      <c r="Z36">
        <f>Z29/$Z$31</f>
        <v>0.25301204819277107</v>
      </c>
      <c r="AA36">
        <f>AVERAGE(W36:Z36)</f>
        <v>0.32683748693403752</v>
      </c>
      <c r="AB36" cm="1">
        <f t="array" ref="AB36">MMULT($W$29:$Z$29,$AA$34:$AA$37)/AA36</f>
        <v>4.2298302312630884</v>
      </c>
    </row>
    <row r="37" spans="14:29" x14ac:dyDescent="0.3">
      <c r="V37" t="s">
        <v>36</v>
      </c>
      <c r="W37">
        <f>W30/$W$31</f>
        <v>0.41666666666666663</v>
      </c>
      <c r="X37">
        <f>X30/$X$31</f>
        <v>0.35</v>
      </c>
      <c r="Y37">
        <f>Y30/$Y$31</f>
        <v>0.57534246575342463</v>
      </c>
      <c r="Z37">
        <f>Z30/$Z$31</f>
        <v>0.50602409638554213</v>
      </c>
      <c r="AA37">
        <f>AVERAGE(W37:Z37)</f>
        <v>0.4620083072014084</v>
      </c>
      <c r="AB37" cm="1">
        <f t="array" ref="AB37">MMULT($W$30:$Z$30,$AA$34:$AA$37)/AA37</f>
        <v>4.1997269166688991</v>
      </c>
    </row>
    <row r="38" spans="14:29" x14ac:dyDescent="0.3">
      <c r="W38">
        <f>SUM(W34:W37)</f>
        <v>0.99999999999999989</v>
      </c>
      <c r="X38">
        <f>SUM(X34:X37)</f>
        <v>0.99999999999999989</v>
      </c>
      <c r="Y38">
        <f>SUM(Y34:Y37)</f>
        <v>1</v>
      </c>
      <c r="Z38">
        <f>SUM(Z34:Z37)</f>
        <v>1</v>
      </c>
    </row>
    <row r="41" spans="14:29" x14ac:dyDescent="0.3">
      <c r="V41" s="44" t="s">
        <v>201</v>
      </c>
    </row>
    <row r="42" spans="14:29" x14ac:dyDescent="0.3">
      <c r="W42" t="s">
        <v>27</v>
      </c>
      <c r="X42" t="s">
        <v>30</v>
      </c>
      <c r="Y42" t="s">
        <v>35</v>
      </c>
      <c r="Z42" t="s">
        <v>36</v>
      </c>
    </row>
    <row r="43" spans="14:29" x14ac:dyDescent="0.3">
      <c r="V43" t="s">
        <v>27</v>
      </c>
      <c r="W43">
        <v>0</v>
      </c>
      <c r="X43">
        <v>4</v>
      </c>
      <c r="Y43">
        <v>-2</v>
      </c>
      <c r="Z43">
        <v>-4</v>
      </c>
    </row>
    <row r="44" spans="14:29" x14ac:dyDescent="0.3">
      <c r="V44" t="s">
        <v>30</v>
      </c>
      <c r="W44">
        <f>-X43</f>
        <v>-4</v>
      </c>
      <c r="X44">
        <v>0</v>
      </c>
      <c r="Y44">
        <v>-6</v>
      </c>
      <c r="Z44">
        <v>-6</v>
      </c>
    </row>
    <row r="45" spans="14:29" x14ac:dyDescent="0.3">
      <c r="V45" t="s">
        <v>35</v>
      </c>
      <c r="W45">
        <f>-Y43</f>
        <v>2</v>
      </c>
      <c r="X45">
        <f>-Y44</f>
        <v>6</v>
      </c>
      <c r="Y45">
        <v>0</v>
      </c>
      <c r="Z45">
        <v>-2</v>
      </c>
    </row>
    <row r="46" spans="14:29" x14ac:dyDescent="0.3">
      <c r="V46" t="s">
        <v>36</v>
      </c>
      <c r="W46">
        <f>-Z43</f>
        <v>4</v>
      </c>
      <c r="X46">
        <f>-Z44</f>
        <v>6</v>
      </c>
      <c r="Y46">
        <f>-Z45</f>
        <v>2</v>
      </c>
      <c r="Z46">
        <v>0</v>
      </c>
    </row>
    <row r="48" spans="14:29" x14ac:dyDescent="0.3">
      <c r="N48" s="44" t="s">
        <v>170</v>
      </c>
      <c r="O48" s="44" t="s">
        <v>172</v>
      </c>
    </row>
    <row r="49" spans="15:39" x14ac:dyDescent="0.3">
      <c r="O49" t="s">
        <v>202</v>
      </c>
    </row>
    <row r="50" spans="15:39" x14ac:dyDescent="0.3">
      <c r="Q50" t="s">
        <v>203</v>
      </c>
      <c r="R50" t="s">
        <v>204</v>
      </c>
    </row>
    <row r="51" spans="15:39" x14ac:dyDescent="0.3">
      <c r="O51" t="s">
        <v>173</v>
      </c>
      <c r="P51" t="s">
        <v>129</v>
      </c>
      <c r="Q51">
        <v>128</v>
      </c>
      <c r="V51" s="44" t="s">
        <v>85</v>
      </c>
    </row>
    <row r="52" spans="15:39" x14ac:dyDescent="0.3">
      <c r="P52" t="s">
        <v>130</v>
      </c>
      <c r="Q52">
        <v>1</v>
      </c>
      <c r="W52" t="s">
        <v>27</v>
      </c>
      <c r="X52" t="s">
        <v>30</v>
      </c>
      <c r="Y52" t="s">
        <v>35</v>
      </c>
      <c r="Z52" t="s">
        <v>36</v>
      </c>
      <c r="AA52" s="51"/>
    </row>
    <row r="53" spans="15:39" x14ac:dyDescent="0.3">
      <c r="P53" t="s">
        <v>131</v>
      </c>
      <c r="Q53">
        <v>11</v>
      </c>
      <c r="V53" t="s">
        <v>27</v>
      </c>
      <c r="W53">
        <v>1</v>
      </c>
      <c r="X53">
        <v>4</v>
      </c>
      <c r="Y53">
        <f>1/4</f>
        <v>0.25</v>
      </c>
      <c r="Z53">
        <f>1/3</f>
        <v>0.33333333333333331</v>
      </c>
    </row>
    <row r="54" spans="15:39" x14ac:dyDescent="0.3">
      <c r="P54" t="s">
        <v>132</v>
      </c>
      <c r="Q54">
        <v>0.06</v>
      </c>
      <c r="V54" t="s">
        <v>30</v>
      </c>
      <c r="W54">
        <f>1/X53</f>
        <v>0.25</v>
      </c>
      <c r="X54">
        <v>1</v>
      </c>
      <c r="Y54">
        <f>1/7</f>
        <v>0.14285714285714285</v>
      </c>
      <c r="Z54">
        <f>1/6</f>
        <v>0.16666666666666666</v>
      </c>
    </row>
    <row r="55" spans="15:39" x14ac:dyDescent="0.3">
      <c r="P55" t="s">
        <v>133</v>
      </c>
      <c r="Q55">
        <v>29</v>
      </c>
      <c r="R55">
        <f>SUM(Q51:Q55)</f>
        <v>169.06</v>
      </c>
      <c r="V55" t="s">
        <v>35</v>
      </c>
      <c r="W55">
        <f>1/Y53</f>
        <v>4</v>
      </c>
      <c r="X55">
        <f>1/Y54</f>
        <v>7</v>
      </c>
      <c r="Y55">
        <v>1</v>
      </c>
      <c r="Z55">
        <v>2</v>
      </c>
    </row>
    <row r="56" spans="15:39" x14ac:dyDescent="0.3">
      <c r="V56" t="s">
        <v>36</v>
      </c>
      <c r="W56">
        <f>1/Z53</f>
        <v>3</v>
      </c>
      <c r="X56">
        <f>1/Z54</f>
        <v>6</v>
      </c>
      <c r="Y56">
        <f>1/Z55</f>
        <v>0.5</v>
      </c>
      <c r="Z56">
        <v>1</v>
      </c>
    </row>
    <row r="57" spans="15:39" x14ac:dyDescent="0.3">
      <c r="O57" t="s">
        <v>174</v>
      </c>
      <c r="P57" t="s">
        <v>135</v>
      </c>
      <c r="Q57">
        <v>7.0000000000000007E-2</v>
      </c>
      <c r="V57" t="s">
        <v>154</v>
      </c>
      <c r="W57">
        <f>SUM(W53:W56)</f>
        <v>8.25</v>
      </c>
      <c r="X57">
        <f>SUM(X53:X56)</f>
        <v>18</v>
      </c>
      <c r="Y57">
        <f>SUM(Y53:Y56)</f>
        <v>1.8928571428571428</v>
      </c>
      <c r="Z57">
        <f>SUM(Z53:Z56)</f>
        <v>3.5</v>
      </c>
      <c r="AM57" t="s">
        <v>248</v>
      </c>
    </row>
    <row r="58" spans="15:39" x14ac:dyDescent="0.3">
      <c r="P58" t="s">
        <v>136</v>
      </c>
      <c r="Q58">
        <v>1</v>
      </c>
    </row>
    <row r="59" spans="15:39" x14ac:dyDescent="0.3">
      <c r="P59" t="s">
        <v>137</v>
      </c>
      <c r="Q59">
        <v>7.7</v>
      </c>
      <c r="W59" t="s">
        <v>27</v>
      </c>
      <c r="X59" t="s">
        <v>30</v>
      </c>
      <c r="Y59" t="s">
        <v>35</v>
      </c>
      <c r="Z59" t="s">
        <v>36</v>
      </c>
      <c r="AA59" t="s">
        <v>200</v>
      </c>
      <c r="AB59" t="s">
        <v>156</v>
      </c>
    </row>
    <row r="60" spans="15:39" x14ac:dyDescent="0.3">
      <c r="P60" t="s">
        <v>138</v>
      </c>
      <c r="Q60">
        <v>1</v>
      </c>
      <c r="V60" t="s">
        <v>27</v>
      </c>
      <c r="W60">
        <f>W53/$W$57</f>
        <v>0.12121212121212122</v>
      </c>
      <c r="X60">
        <f>X53/$X$57</f>
        <v>0.22222222222222221</v>
      </c>
      <c r="Y60">
        <f>Y53/$Y$57</f>
        <v>0.13207547169811321</v>
      </c>
      <c r="Z60">
        <f>Z53/$Z$57</f>
        <v>9.5238095238095233E-2</v>
      </c>
      <c r="AA60">
        <f>AVERAGE(W60:Z60)</f>
        <v>0.14268697759263796</v>
      </c>
      <c r="AB60" cm="1">
        <f t="array" ref="AB60">MMULT(W53:Z53,$AA$60:$AA$63)/AA60</f>
        <v>4.0569992367504657</v>
      </c>
      <c r="AC60">
        <f>(MAX(AB60:AB63)-4)/3</f>
        <v>5.6721985660734241E-2</v>
      </c>
    </row>
    <row r="61" spans="15:39" x14ac:dyDescent="0.3">
      <c r="P61" t="s">
        <v>139</v>
      </c>
      <c r="Q61">
        <v>1.1000000000000001</v>
      </c>
      <c r="V61" t="s">
        <v>30</v>
      </c>
      <c r="W61">
        <f>W54/$W$57</f>
        <v>3.0303030303030304E-2</v>
      </c>
      <c r="X61">
        <f>X54/$X$57</f>
        <v>5.5555555555555552E-2</v>
      </c>
      <c r="Y61">
        <f>Y54/$Y$57</f>
        <v>7.5471698113207544E-2</v>
      </c>
      <c r="Z61">
        <f>Z54/$Z$57</f>
        <v>4.7619047619047616E-2</v>
      </c>
      <c r="AA61">
        <f>AVERAGE(W61:Z61)</f>
        <v>5.2237332897710251E-2</v>
      </c>
      <c r="AB61" cm="1">
        <f t="array" ref="AB61">MMULT(W54:Z54,$AA$60:$AA$63)/AA61</f>
        <v>4.026651340710889</v>
      </c>
    </row>
    <row r="62" spans="15:39" x14ac:dyDescent="0.3">
      <c r="P62" t="s">
        <v>140</v>
      </c>
      <c r="Q62">
        <v>13</v>
      </c>
      <c r="R62">
        <f>SUM(Q57:Q62)</f>
        <v>23.869999999999997</v>
      </c>
      <c r="V62" t="s">
        <v>35</v>
      </c>
      <c r="W62">
        <f>W55/$W$57</f>
        <v>0.48484848484848486</v>
      </c>
      <c r="X62">
        <f>X55/$X$57</f>
        <v>0.3888888888888889</v>
      </c>
      <c r="Y62">
        <f>Y55/$Y$57</f>
        <v>0.52830188679245282</v>
      </c>
      <c r="Z62">
        <f>Z55/$Z$57</f>
        <v>0.5714285714285714</v>
      </c>
      <c r="AA62">
        <f>AVERAGE(W62:Z62)</f>
        <v>0.49336695798959945</v>
      </c>
      <c r="AB62" cm="1">
        <f t="array" ref="AB62">MMULT(W55:Z55,$AA$60:$AA$63)/AA62</f>
        <v>4.1615953975732412</v>
      </c>
    </row>
    <row r="63" spans="15:39" x14ac:dyDescent="0.3">
      <c r="V63" t="s">
        <v>36</v>
      </c>
      <c r="W63">
        <f>W56/$W$57</f>
        <v>0.36363636363636365</v>
      </c>
      <c r="X63">
        <f>X56/$X$57</f>
        <v>0.33333333333333331</v>
      </c>
      <c r="Y63">
        <f>Y56/$Y$57</f>
        <v>0.26415094339622641</v>
      </c>
      <c r="Z63">
        <f>Z56/$Z$57</f>
        <v>0.2857142857142857</v>
      </c>
      <c r="AA63">
        <f>AVERAGE(W63:Z63)</f>
        <v>0.3117087315200523</v>
      </c>
      <c r="AB63" cm="1">
        <f t="array" ref="AB63">MMULT(W56:Z56,$AA$60:$AA$63)/AA63</f>
        <v>4.1701659569822027</v>
      </c>
    </row>
    <row r="64" spans="15:39" x14ac:dyDescent="0.3">
      <c r="O64" t="s">
        <v>175</v>
      </c>
      <c r="P64" t="s">
        <v>141</v>
      </c>
      <c r="Q64">
        <v>0.03</v>
      </c>
      <c r="W64">
        <f>SUM(W60:W63)</f>
        <v>1</v>
      </c>
      <c r="X64">
        <f>SUM(X60:X63)</f>
        <v>1</v>
      </c>
      <c r="Y64">
        <f>SUM(Y60:Y63)</f>
        <v>1</v>
      </c>
      <c r="Z64">
        <f>SUM(Z60:Z63)</f>
        <v>0.99999999999999989</v>
      </c>
    </row>
    <row r="65" spans="15:26" x14ac:dyDescent="0.3">
      <c r="P65" t="s">
        <v>142</v>
      </c>
      <c r="Q65">
        <v>0.4</v>
      </c>
    </row>
    <row r="66" spans="15:26" x14ac:dyDescent="0.3">
      <c r="P66" t="s">
        <v>143</v>
      </c>
      <c r="Q66">
        <v>80</v>
      </c>
    </row>
    <row r="67" spans="15:26" x14ac:dyDescent="0.3">
      <c r="P67" t="s">
        <v>144</v>
      </c>
      <c r="Q67">
        <v>150</v>
      </c>
      <c r="V67" s="44" t="s">
        <v>201</v>
      </c>
    </row>
    <row r="68" spans="15:26" x14ac:dyDescent="0.3">
      <c r="P68" t="s">
        <v>145</v>
      </c>
      <c r="Q68">
        <v>55</v>
      </c>
      <c r="W68" t="s">
        <v>27</v>
      </c>
      <c r="X68" t="s">
        <v>30</v>
      </c>
      <c r="Y68" t="s">
        <v>35</v>
      </c>
      <c r="Z68" t="s">
        <v>36</v>
      </c>
    </row>
    <row r="69" spans="15:26" x14ac:dyDescent="0.3">
      <c r="P69" t="s">
        <v>146</v>
      </c>
      <c r="Q69">
        <v>20</v>
      </c>
      <c r="R69">
        <f>SUM(Q64:Q69)</f>
        <v>305.43</v>
      </c>
      <c r="V69" t="s">
        <v>27</v>
      </c>
      <c r="W69">
        <v>0</v>
      </c>
      <c r="X69">
        <v>6</v>
      </c>
      <c r="Y69">
        <v>-6</v>
      </c>
      <c r="Z69">
        <v>-4</v>
      </c>
    </row>
    <row r="70" spans="15:26" x14ac:dyDescent="0.3">
      <c r="V70" t="s">
        <v>30</v>
      </c>
      <c r="W70">
        <f>-X69</f>
        <v>-6</v>
      </c>
      <c r="X70">
        <v>0</v>
      </c>
      <c r="Y70">
        <v>-8</v>
      </c>
      <c r="Z70">
        <v>-8</v>
      </c>
    </row>
    <row r="71" spans="15:26" x14ac:dyDescent="0.3">
      <c r="O71" t="s">
        <v>176</v>
      </c>
      <c r="P71" t="s">
        <v>147</v>
      </c>
      <c r="Q71">
        <v>160</v>
      </c>
      <c r="V71" t="s">
        <v>35</v>
      </c>
      <c r="W71">
        <f>-Y69</f>
        <v>6</v>
      </c>
      <c r="X71">
        <f>-Y70</f>
        <v>8</v>
      </c>
      <c r="Y71">
        <v>0</v>
      </c>
      <c r="Z71">
        <v>2</v>
      </c>
    </row>
    <row r="72" spans="15:26" x14ac:dyDescent="0.3">
      <c r="P72" t="s">
        <v>148</v>
      </c>
      <c r="Q72">
        <v>21</v>
      </c>
      <c r="V72" t="s">
        <v>36</v>
      </c>
      <c r="W72">
        <f>-Z69</f>
        <v>4</v>
      </c>
      <c r="X72">
        <f>-Z70</f>
        <v>8</v>
      </c>
      <c r="Y72">
        <f>-Z71</f>
        <v>-2</v>
      </c>
      <c r="Z72">
        <v>0</v>
      </c>
    </row>
    <row r="73" spans="15:26" x14ac:dyDescent="0.3">
      <c r="P73" t="s">
        <v>149</v>
      </c>
      <c r="Q73">
        <v>60</v>
      </c>
      <c r="R73">
        <f>SUM(Q71:Q73)</f>
        <v>241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93FF-1ABF-48B0-83AC-412EE740CD2B}">
  <sheetPr>
    <tabColor theme="1"/>
  </sheetPr>
  <dimension ref="O2:BS62"/>
  <sheetViews>
    <sheetView topLeftCell="BB42" zoomScale="70" zoomScaleNormal="70" workbookViewId="0">
      <selection activeCell="BL16" sqref="BL16"/>
    </sheetView>
  </sheetViews>
  <sheetFormatPr defaultRowHeight="14.4" x14ac:dyDescent="0.3"/>
  <cols>
    <col min="21" max="21" width="8.6640625" customWidth="1"/>
    <col min="22" max="22" width="9.6640625" customWidth="1"/>
    <col min="25" max="25" width="14.6640625" bestFit="1" customWidth="1"/>
    <col min="33" max="33" width="9.33203125" customWidth="1"/>
    <col min="36" max="36" width="14.109375" customWidth="1"/>
    <col min="44" max="44" width="10.88671875" customWidth="1"/>
    <col min="47" max="64" width="15.109375" customWidth="1"/>
    <col min="65" max="65" width="14.44140625" bestFit="1" customWidth="1"/>
    <col min="66" max="66" width="56.6640625" bestFit="1" customWidth="1"/>
    <col min="67" max="67" width="19.88671875" bestFit="1" customWidth="1"/>
  </cols>
  <sheetData>
    <row r="2" spans="15:71" ht="25.8" customHeight="1" x14ac:dyDescent="0.3">
      <c r="P2" s="46" t="s">
        <v>88</v>
      </c>
    </row>
    <row r="4" spans="15:71" x14ac:dyDescent="0.3">
      <c r="P4" s="44" t="s">
        <v>153</v>
      </c>
      <c r="AA4" s="44" t="s">
        <v>179</v>
      </c>
      <c r="AK4" t="s">
        <v>169</v>
      </c>
      <c r="AL4" s="44" t="s">
        <v>205</v>
      </c>
    </row>
    <row r="6" spans="15:71" x14ac:dyDescent="0.3">
      <c r="O6" t="s">
        <v>71</v>
      </c>
      <c r="P6" s="44" t="s">
        <v>74</v>
      </c>
      <c r="Z6" t="s">
        <v>159</v>
      </c>
      <c r="AA6" s="44" t="s">
        <v>178</v>
      </c>
      <c r="AL6" s="44" t="s">
        <v>206</v>
      </c>
      <c r="AW6" s="44" t="s">
        <v>237</v>
      </c>
      <c r="BP6" t="s">
        <v>228</v>
      </c>
    </row>
    <row r="7" spans="15:71" x14ac:dyDescent="0.3">
      <c r="P7" s="44"/>
      <c r="AA7" s="44"/>
      <c r="AL7" s="44"/>
      <c r="BM7" s="2" t="s">
        <v>70</v>
      </c>
      <c r="BN7" s="2"/>
      <c r="BO7" s="2" t="s">
        <v>227</v>
      </c>
      <c r="BP7" s="2" t="s">
        <v>27</v>
      </c>
      <c r="BQ7" s="2" t="s">
        <v>30</v>
      </c>
      <c r="BR7" s="2" t="s">
        <v>35</v>
      </c>
      <c r="BS7" s="2" t="s">
        <v>36</v>
      </c>
    </row>
    <row r="8" spans="15:71" x14ac:dyDescent="0.3">
      <c r="AW8" s="44" t="s">
        <v>234</v>
      </c>
      <c r="BM8" s="2" t="s">
        <v>205</v>
      </c>
      <c r="BN8" s="57" t="s">
        <v>206</v>
      </c>
      <c r="BO8" s="2">
        <f>BK10</f>
        <v>0.45886376703850168</v>
      </c>
      <c r="BP8" s="2">
        <f>$AU$10</f>
        <v>0.70710678118654746</v>
      </c>
      <c r="BQ8" s="2">
        <f>$AU$11</f>
        <v>6.2500000000000014E-2</v>
      </c>
      <c r="BR8" s="2">
        <f>$AU$12</f>
        <v>2.8284271247461898</v>
      </c>
      <c r="BS8" s="2">
        <f>$AU$13</f>
        <v>7.9999999999999991</v>
      </c>
    </row>
    <row r="9" spans="15:71" x14ac:dyDescent="0.3">
      <c r="P9" s="47"/>
      <c r="Q9" s="47" t="s">
        <v>27</v>
      </c>
      <c r="R9" s="47" t="s">
        <v>30</v>
      </c>
      <c r="S9" s="47" t="s">
        <v>35</v>
      </c>
      <c r="T9" s="47" t="s">
        <v>36</v>
      </c>
      <c r="U9" s="2"/>
      <c r="V9" s="2"/>
      <c r="W9" s="2"/>
      <c r="X9" s="2"/>
      <c r="Y9" s="47" t="s">
        <v>230</v>
      </c>
      <c r="AA9" s="63"/>
      <c r="AB9" s="63" t="s">
        <v>27</v>
      </c>
      <c r="AC9" s="63" t="s">
        <v>30</v>
      </c>
      <c r="AD9" s="63" t="s">
        <v>35</v>
      </c>
      <c r="AE9" s="63" t="s">
        <v>36</v>
      </c>
      <c r="AF9" s="2"/>
      <c r="AG9" s="2"/>
      <c r="AH9" s="2"/>
      <c r="AI9" s="2"/>
      <c r="AJ9" s="63" t="s">
        <v>230</v>
      </c>
      <c r="AL9" s="64"/>
      <c r="AM9" s="64" t="s">
        <v>27</v>
      </c>
      <c r="AN9" s="64" t="s">
        <v>30</v>
      </c>
      <c r="AO9" s="64" t="s">
        <v>35</v>
      </c>
      <c r="AP9" s="64" t="s">
        <v>36</v>
      </c>
      <c r="AQ9" s="2"/>
      <c r="AR9" s="2"/>
      <c r="AS9" s="2"/>
      <c r="AT9" s="2"/>
      <c r="AU9" s="64" t="s">
        <v>230</v>
      </c>
      <c r="AW9" s="65"/>
      <c r="AX9" s="65" t="s">
        <v>169</v>
      </c>
      <c r="AY9" s="65" t="s">
        <v>170</v>
      </c>
      <c r="AZ9" s="65" t="s">
        <v>159</v>
      </c>
      <c r="BA9" s="65" t="s">
        <v>160</v>
      </c>
      <c r="BB9" s="65" t="s">
        <v>71</v>
      </c>
      <c r="BC9" s="65" t="s">
        <v>72</v>
      </c>
      <c r="BD9" s="2"/>
      <c r="BE9" s="2"/>
      <c r="BF9" s="2"/>
      <c r="BG9" s="2"/>
      <c r="BH9" s="2"/>
      <c r="BI9" s="2"/>
      <c r="BJ9" s="65" t="s">
        <v>230</v>
      </c>
      <c r="BK9" s="65" t="s">
        <v>227</v>
      </c>
      <c r="BM9" s="2" t="s">
        <v>205</v>
      </c>
      <c r="BN9" s="57" t="s">
        <v>207</v>
      </c>
      <c r="BO9" s="2">
        <f t="shared" ref="BO9:BO13" si="0">BK11</f>
        <v>0.25752858192249573</v>
      </c>
      <c r="BP9" s="2">
        <f>$AU$28</f>
        <v>0.5</v>
      </c>
      <c r="BQ9" s="2">
        <f>$AU$29</f>
        <v>2.2097086912079615E-2</v>
      </c>
      <c r="BR9" s="2">
        <f>$AU$30</f>
        <v>15.999999999999998</v>
      </c>
      <c r="BS9" s="2">
        <f>$AU$31</f>
        <v>5.6568542494923797</v>
      </c>
    </row>
    <row r="10" spans="15:71" x14ac:dyDescent="0.3">
      <c r="P10" s="47" t="s">
        <v>27</v>
      </c>
      <c r="Q10" s="2">
        <f>'MCDA - Social'!J20</f>
        <v>0</v>
      </c>
      <c r="R10" s="2">
        <f>'MCDA - Social'!K20</f>
        <v>4</v>
      </c>
      <c r="S10" s="2">
        <f>'MCDA - Social'!L20</f>
        <v>-4</v>
      </c>
      <c r="T10" s="2">
        <f>'MCDA - Social'!M20</f>
        <v>6</v>
      </c>
      <c r="U10" s="2">
        <f>EXP((LN(2)*Q10))</f>
        <v>1</v>
      </c>
      <c r="V10" s="2">
        <f t="shared" ref="V10:X10" si="1">EXP((LN(2)*R10))</f>
        <v>15.999999999999998</v>
      </c>
      <c r="W10" s="2">
        <f t="shared" si="1"/>
        <v>6.25E-2</v>
      </c>
      <c r="X10" s="2">
        <f t="shared" si="1"/>
        <v>63.999999999999979</v>
      </c>
      <c r="Y10" s="62">
        <f>GEOMEAN(U10:X10)</f>
        <v>2.8284271247461898</v>
      </c>
      <c r="AA10" s="63" t="s">
        <v>27</v>
      </c>
      <c r="AB10" s="61">
        <f>'MCDA - Environment'!AC21</f>
        <v>0</v>
      </c>
      <c r="AC10" s="61">
        <f>'MCDA - Environment'!AD21</f>
        <v>2</v>
      </c>
      <c r="AD10" s="61">
        <f>'MCDA - Environment'!AE21</f>
        <v>-4</v>
      </c>
      <c r="AE10" s="61">
        <f>'MCDA - Environment'!AF21</f>
        <v>-6</v>
      </c>
      <c r="AF10" s="2">
        <f>EXP((LN(2)*AB10))</f>
        <v>1</v>
      </c>
      <c r="AG10" s="2">
        <f t="shared" ref="AG10:AG13" si="2">EXP((LN(2)*AC10))</f>
        <v>4</v>
      </c>
      <c r="AH10" s="2">
        <f t="shared" ref="AH10:AH13" si="3">EXP((LN(2)*AD10))</f>
        <v>6.25E-2</v>
      </c>
      <c r="AI10" s="2">
        <f t="shared" ref="AI10:AI13" si="4">EXP((LN(2)*AE10))</f>
        <v>1.5625000000000007E-2</v>
      </c>
      <c r="AJ10" s="62">
        <f>GEOMEAN(AF10:AI10)</f>
        <v>0.25</v>
      </c>
      <c r="AL10" s="64" t="s">
        <v>27</v>
      </c>
      <c r="AM10" s="61">
        <f>'MCDA - Economic'!W43</f>
        <v>0</v>
      </c>
      <c r="AN10" s="61">
        <f>'MCDA - Economic'!X43</f>
        <v>4</v>
      </c>
      <c r="AO10" s="61">
        <f>'MCDA - Economic'!Y43</f>
        <v>-2</v>
      </c>
      <c r="AP10" s="61">
        <f>'MCDA - Economic'!Z43</f>
        <v>-4</v>
      </c>
      <c r="AQ10" s="2">
        <f>EXP((LN(2)*AM10))</f>
        <v>1</v>
      </c>
      <c r="AR10" s="2">
        <f t="shared" ref="AR10:AR13" si="5">EXP((LN(2)*AN10))</f>
        <v>15.999999999999998</v>
      </c>
      <c r="AS10" s="2">
        <f t="shared" ref="AS10:AS13" si="6">EXP((LN(2)*AO10))</f>
        <v>0.25</v>
      </c>
      <c r="AT10" s="2">
        <f t="shared" ref="AT10:AT13" si="7">EXP((LN(2)*AP10))</f>
        <v>6.25E-2</v>
      </c>
      <c r="AU10" s="62">
        <f>GEOMEAN(AQ10:AT10)</f>
        <v>0.70710678118654746</v>
      </c>
      <c r="AW10" s="65" t="s">
        <v>169</v>
      </c>
      <c r="AX10" s="2">
        <v>0</v>
      </c>
      <c r="AY10" s="2">
        <v>2</v>
      </c>
      <c r="AZ10" s="2">
        <v>4</v>
      </c>
      <c r="BA10" s="2">
        <v>6</v>
      </c>
      <c r="BB10" s="2">
        <v>6</v>
      </c>
      <c r="BC10" s="2">
        <v>6</v>
      </c>
      <c r="BD10" s="2">
        <f>EXP((LN(SQRT(2)))*AX10)</f>
        <v>1</v>
      </c>
      <c r="BE10" s="2">
        <f t="shared" ref="BE10:BI10" si="8">EXP((LN(SQRT(2)))*AY10)</f>
        <v>2</v>
      </c>
      <c r="BF10" s="2">
        <f t="shared" si="8"/>
        <v>4.0000000000000009</v>
      </c>
      <c r="BG10" s="2">
        <f t="shared" si="8"/>
        <v>8.0000000000000018</v>
      </c>
      <c r="BH10" s="2">
        <f t="shared" si="8"/>
        <v>8.0000000000000018</v>
      </c>
      <c r="BI10" s="2">
        <f t="shared" si="8"/>
        <v>8.0000000000000018</v>
      </c>
      <c r="BJ10" s="62">
        <f>GEOMEAN(BD10:BI10)</f>
        <v>4.0000000000000009</v>
      </c>
      <c r="BK10" s="2">
        <f>BJ10/SUM($BJ$10:$BJ$15)</f>
        <v>0.45886376703850168</v>
      </c>
      <c r="BM10" s="2" t="s">
        <v>179</v>
      </c>
      <c r="BN10" s="57" t="s">
        <v>178</v>
      </c>
      <c r="BO10" s="2">
        <f t="shared" si="0"/>
        <v>0.11471594175962541</v>
      </c>
      <c r="BP10" s="2">
        <f>$AJ$10</f>
        <v>0.25</v>
      </c>
      <c r="BQ10" s="2">
        <f>$AJ$11</f>
        <v>6.2500000000000014E-2</v>
      </c>
      <c r="BR10" s="2">
        <f>$AJ$12</f>
        <v>2.8284271247461898</v>
      </c>
      <c r="BS10" s="2">
        <f>$AJ$13</f>
        <v>22.627416997969515</v>
      </c>
    </row>
    <row r="11" spans="15:71" x14ac:dyDescent="0.3">
      <c r="P11" s="47" t="s">
        <v>30</v>
      </c>
      <c r="Q11" s="2">
        <f>'MCDA - Social'!J21</f>
        <v>-4</v>
      </c>
      <c r="R11" s="2">
        <f>'MCDA - Social'!K21</f>
        <v>0</v>
      </c>
      <c r="S11" s="2">
        <f>'MCDA - Social'!L21</f>
        <v>-2</v>
      </c>
      <c r="T11" s="2">
        <f>'MCDA - Social'!M21</f>
        <v>6</v>
      </c>
      <c r="U11" s="2">
        <f t="shared" ref="U11:U13" si="9">EXP((LN(2)*Q11))</f>
        <v>6.25E-2</v>
      </c>
      <c r="V11" s="2">
        <f t="shared" ref="V11:V13" si="10">EXP((LN(2)*R11))</f>
        <v>1</v>
      </c>
      <c r="W11" s="2">
        <f t="shared" ref="W11:W13" si="11">EXP((LN(2)*S11))</f>
        <v>0.25</v>
      </c>
      <c r="X11" s="2">
        <f t="shared" ref="X11:X13" si="12">EXP((LN(2)*T11))</f>
        <v>63.999999999999979</v>
      </c>
      <c r="Y11" s="73">
        <f t="shared" ref="Y11:Y13" si="13">GEOMEAN(U11:X11)</f>
        <v>0.99999999999999989</v>
      </c>
      <c r="AA11" s="63" t="s">
        <v>30</v>
      </c>
      <c r="AB11" s="61">
        <f>'MCDA - Environment'!AC22</f>
        <v>-2</v>
      </c>
      <c r="AC11" s="61">
        <f>'MCDA - Environment'!AD22</f>
        <v>0</v>
      </c>
      <c r="AD11" s="61">
        <f>'MCDA - Environment'!AE22</f>
        <v>-6</v>
      </c>
      <c r="AE11" s="61">
        <f>'MCDA - Environment'!AF22</f>
        <v>-8</v>
      </c>
      <c r="AF11" s="2">
        <f t="shared" ref="AF11:AF13" si="14">EXP((LN(2)*AB11))</f>
        <v>0.25</v>
      </c>
      <c r="AG11" s="2">
        <f t="shared" si="2"/>
        <v>1</v>
      </c>
      <c r="AH11" s="2">
        <f t="shared" si="3"/>
        <v>1.5625000000000007E-2</v>
      </c>
      <c r="AI11" s="2">
        <f t="shared" si="4"/>
        <v>3.9062500000000009E-3</v>
      </c>
      <c r="AJ11" s="62">
        <f t="shared" ref="AJ11:AJ13" si="15">GEOMEAN(AF11:AI11)</f>
        <v>6.2500000000000014E-2</v>
      </c>
      <c r="AL11" s="64" t="s">
        <v>30</v>
      </c>
      <c r="AM11" s="61">
        <f>'MCDA - Economic'!W44</f>
        <v>-4</v>
      </c>
      <c r="AN11" s="61">
        <f>'MCDA - Economic'!X44</f>
        <v>0</v>
      </c>
      <c r="AO11" s="61">
        <f>'MCDA - Economic'!Y44</f>
        <v>-6</v>
      </c>
      <c r="AP11" s="61">
        <f>'MCDA - Economic'!Z44</f>
        <v>-6</v>
      </c>
      <c r="AQ11" s="2">
        <f t="shared" ref="AQ11:AQ13" si="16">EXP((LN(2)*AM11))</f>
        <v>6.25E-2</v>
      </c>
      <c r="AR11" s="2">
        <f t="shared" si="5"/>
        <v>1</v>
      </c>
      <c r="AS11" s="2">
        <f t="shared" si="6"/>
        <v>1.5625000000000007E-2</v>
      </c>
      <c r="AT11" s="2">
        <f t="shared" si="7"/>
        <v>1.5625000000000007E-2</v>
      </c>
      <c r="AU11" s="62">
        <f t="shared" ref="AU11:AU13" si="17">GEOMEAN(AQ11:AT11)</f>
        <v>6.2500000000000014E-2</v>
      </c>
      <c r="AW11" s="65" t="s">
        <v>170</v>
      </c>
      <c r="AX11" s="2">
        <f>-AY10</f>
        <v>-2</v>
      </c>
      <c r="AY11" s="2">
        <v>0</v>
      </c>
      <c r="AZ11" s="2">
        <v>2</v>
      </c>
      <c r="BA11" s="2">
        <v>4</v>
      </c>
      <c r="BB11" s="2">
        <v>4</v>
      </c>
      <c r="BC11" s="2">
        <v>6</v>
      </c>
      <c r="BD11" s="2">
        <f t="shared" ref="BD11:BD15" si="18">EXP((LN(SQRT(2)))*AX11)</f>
        <v>0.49999999999999994</v>
      </c>
      <c r="BE11" s="2">
        <f t="shared" ref="BE11:BE15" si="19">EXP((LN(SQRT(2)))*AY11)</f>
        <v>1</v>
      </c>
      <c r="BF11" s="2">
        <f t="shared" ref="BF11:BF15" si="20">EXP((LN(SQRT(2)))*AZ11)</f>
        <v>2</v>
      </c>
      <c r="BG11" s="2">
        <f t="shared" ref="BG11:BG15" si="21">EXP((LN(SQRT(2)))*BA11)</f>
        <v>4.0000000000000009</v>
      </c>
      <c r="BH11" s="2">
        <f t="shared" ref="BH11:BH15" si="22">EXP((LN(SQRT(2)))*BB11)</f>
        <v>4.0000000000000009</v>
      </c>
      <c r="BI11" s="2">
        <f t="shared" ref="BI11:BI15" si="23">EXP((LN(SQRT(2)))*BC11)</f>
        <v>8.0000000000000018</v>
      </c>
      <c r="BJ11" s="62">
        <f t="shared" ref="BJ11:BJ15" si="24">GEOMEAN(BD11:BI11)</f>
        <v>2.244924096618746</v>
      </c>
      <c r="BK11" s="2">
        <f t="shared" ref="BK11:BK15" si="25">BJ11/SUM($BJ$10:$BJ$15)</f>
        <v>0.25752858192249573</v>
      </c>
      <c r="BM11" s="2" t="s">
        <v>179</v>
      </c>
      <c r="BN11" s="66" t="s">
        <v>180</v>
      </c>
      <c r="BO11" s="2">
        <f t="shared" si="0"/>
        <v>7.2266514890733186E-2</v>
      </c>
      <c r="BP11" s="2">
        <f>$AJ$28</f>
        <v>11.313708498984759</v>
      </c>
      <c r="BQ11" s="2">
        <f>$AJ$29</f>
        <v>0.125</v>
      </c>
      <c r="BR11" s="2">
        <f>$AJ$30</f>
        <v>1.4142135623730949</v>
      </c>
      <c r="BS11" s="2">
        <f>$AJ$31</f>
        <v>0.5</v>
      </c>
    </row>
    <row r="12" spans="15:71" x14ac:dyDescent="0.3">
      <c r="P12" s="47" t="s">
        <v>35</v>
      </c>
      <c r="Q12" s="2">
        <f>'MCDA - Social'!J22</f>
        <v>4</v>
      </c>
      <c r="R12" s="2">
        <f>'MCDA - Social'!K22</f>
        <v>2</v>
      </c>
      <c r="S12" s="2">
        <f>'MCDA - Social'!L22</f>
        <v>0</v>
      </c>
      <c r="T12" s="2">
        <f>'MCDA - Social'!M22</f>
        <v>6</v>
      </c>
      <c r="U12" s="2">
        <f t="shared" si="9"/>
        <v>15.999999999999998</v>
      </c>
      <c r="V12" s="2">
        <f t="shared" si="10"/>
        <v>4</v>
      </c>
      <c r="W12" s="2">
        <f t="shared" si="11"/>
        <v>1</v>
      </c>
      <c r="X12" s="2">
        <f t="shared" si="12"/>
        <v>63.999999999999979</v>
      </c>
      <c r="Y12" s="62">
        <f t="shared" si="13"/>
        <v>7.9999999999999991</v>
      </c>
      <c r="AA12" s="63" t="s">
        <v>35</v>
      </c>
      <c r="AB12" s="61">
        <f>'MCDA - Environment'!AC23</f>
        <v>4</v>
      </c>
      <c r="AC12" s="61">
        <f>'MCDA - Environment'!AD23</f>
        <v>6</v>
      </c>
      <c r="AD12" s="61">
        <f>'MCDA - Environment'!AE23</f>
        <v>0</v>
      </c>
      <c r="AE12" s="61">
        <f>'MCDA - Environment'!AF23</f>
        <v>-4</v>
      </c>
      <c r="AF12" s="2">
        <f t="shared" si="14"/>
        <v>15.999999999999998</v>
      </c>
      <c r="AG12" s="2">
        <f t="shared" si="2"/>
        <v>63.999999999999979</v>
      </c>
      <c r="AH12" s="2">
        <f t="shared" si="3"/>
        <v>1</v>
      </c>
      <c r="AI12" s="2">
        <f t="shared" si="4"/>
        <v>6.25E-2</v>
      </c>
      <c r="AJ12" s="62">
        <f t="shared" si="15"/>
        <v>2.8284271247461898</v>
      </c>
      <c r="AL12" s="64" t="s">
        <v>35</v>
      </c>
      <c r="AM12" s="61">
        <f>'MCDA - Economic'!W45</f>
        <v>2</v>
      </c>
      <c r="AN12" s="61">
        <f>'MCDA - Economic'!X45</f>
        <v>6</v>
      </c>
      <c r="AO12" s="61">
        <f>'MCDA - Economic'!Y45</f>
        <v>0</v>
      </c>
      <c r="AP12" s="61">
        <f>'MCDA - Economic'!Z45</f>
        <v>-2</v>
      </c>
      <c r="AQ12" s="2">
        <f t="shared" si="16"/>
        <v>4</v>
      </c>
      <c r="AR12" s="2">
        <f t="shared" si="5"/>
        <v>63.999999999999979</v>
      </c>
      <c r="AS12" s="2">
        <f t="shared" si="6"/>
        <v>1</v>
      </c>
      <c r="AT12" s="2">
        <f t="shared" si="7"/>
        <v>0.25</v>
      </c>
      <c r="AU12" s="62">
        <f t="shared" si="17"/>
        <v>2.8284271247461898</v>
      </c>
      <c r="AW12" s="65" t="s">
        <v>159</v>
      </c>
      <c r="AX12" s="2">
        <f>-AZ10</f>
        <v>-4</v>
      </c>
      <c r="AY12" s="2">
        <f>-AZ11</f>
        <v>-2</v>
      </c>
      <c r="AZ12" s="2">
        <v>0</v>
      </c>
      <c r="BA12" s="2">
        <v>2</v>
      </c>
      <c r="BB12" s="2">
        <v>2</v>
      </c>
      <c r="BC12" s="2">
        <v>2</v>
      </c>
      <c r="BD12" s="2">
        <f t="shared" si="18"/>
        <v>0.24999999999999994</v>
      </c>
      <c r="BE12" s="2">
        <f t="shared" si="19"/>
        <v>0.49999999999999994</v>
      </c>
      <c r="BF12" s="2">
        <f t="shared" si="20"/>
        <v>1</v>
      </c>
      <c r="BG12" s="2">
        <f t="shared" si="21"/>
        <v>2</v>
      </c>
      <c r="BH12" s="2">
        <f t="shared" si="22"/>
        <v>2</v>
      </c>
      <c r="BI12" s="2">
        <f t="shared" si="23"/>
        <v>2</v>
      </c>
      <c r="BJ12" s="62">
        <f t="shared" si="24"/>
        <v>1</v>
      </c>
      <c r="BK12" s="2">
        <f t="shared" si="25"/>
        <v>0.11471594175962541</v>
      </c>
      <c r="BM12" s="2" t="s">
        <v>153</v>
      </c>
      <c r="BN12" s="57" t="s">
        <v>74</v>
      </c>
      <c r="BO12" s="2">
        <f t="shared" si="0"/>
        <v>5.1100142731956039E-2</v>
      </c>
      <c r="BP12" s="2">
        <f>$Y$10</f>
        <v>2.8284271247461898</v>
      </c>
      <c r="BQ12" s="2">
        <f>$Y$11</f>
        <v>0.99999999999999989</v>
      </c>
      <c r="BR12" s="2">
        <f>$Y$12</f>
        <v>7.9999999999999991</v>
      </c>
      <c r="BS12" s="2">
        <f>$Y$13</f>
        <v>4.4194173824159237E-2</v>
      </c>
    </row>
    <row r="13" spans="15:71" x14ac:dyDescent="0.3">
      <c r="P13" s="47" t="s">
        <v>36</v>
      </c>
      <c r="Q13" s="2">
        <f>'MCDA - Social'!J23</f>
        <v>-6</v>
      </c>
      <c r="R13" s="2">
        <f>'MCDA - Social'!K23</f>
        <v>-6</v>
      </c>
      <c r="S13" s="2">
        <f>'MCDA - Social'!L23</f>
        <v>-6</v>
      </c>
      <c r="T13" s="2">
        <f>'MCDA - Social'!M23</f>
        <v>0</v>
      </c>
      <c r="U13" s="2">
        <f t="shared" si="9"/>
        <v>1.5625000000000007E-2</v>
      </c>
      <c r="V13" s="2">
        <f t="shared" si="10"/>
        <v>1.5625000000000007E-2</v>
      </c>
      <c r="W13" s="2">
        <f t="shared" si="11"/>
        <v>1.5625000000000007E-2</v>
      </c>
      <c r="X13" s="2">
        <f t="shared" si="12"/>
        <v>1</v>
      </c>
      <c r="Y13" s="62">
        <f t="shared" si="13"/>
        <v>4.4194173824159237E-2</v>
      </c>
      <c r="AA13" s="63" t="s">
        <v>36</v>
      </c>
      <c r="AB13" s="61">
        <f>'MCDA - Environment'!AC24</f>
        <v>6</v>
      </c>
      <c r="AC13" s="61">
        <f>'MCDA - Environment'!AD24</f>
        <v>8</v>
      </c>
      <c r="AD13" s="61">
        <f>'MCDA - Environment'!AE24</f>
        <v>4</v>
      </c>
      <c r="AE13" s="61">
        <f>'MCDA - Environment'!AF24</f>
        <v>0</v>
      </c>
      <c r="AF13" s="2">
        <f t="shared" si="14"/>
        <v>63.999999999999979</v>
      </c>
      <c r="AG13" s="2">
        <f t="shared" si="2"/>
        <v>255.99999999999994</v>
      </c>
      <c r="AH13" s="2">
        <f t="shared" si="3"/>
        <v>15.999999999999998</v>
      </c>
      <c r="AI13" s="2">
        <f t="shared" si="4"/>
        <v>1</v>
      </c>
      <c r="AJ13" s="62">
        <f t="shared" si="15"/>
        <v>22.627416997969515</v>
      </c>
      <c r="AL13" s="64" t="s">
        <v>36</v>
      </c>
      <c r="AM13" s="61">
        <f>'MCDA - Economic'!W46</f>
        <v>4</v>
      </c>
      <c r="AN13" s="61">
        <f>'MCDA - Economic'!X46</f>
        <v>6</v>
      </c>
      <c r="AO13" s="61">
        <f>'MCDA - Economic'!Y46</f>
        <v>2</v>
      </c>
      <c r="AP13" s="61">
        <f>'MCDA - Economic'!Z46</f>
        <v>0</v>
      </c>
      <c r="AQ13" s="2">
        <f t="shared" si="16"/>
        <v>15.999999999999998</v>
      </c>
      <c r="AR13" s="2">
        <f t="shared" si="5"/>
        <v>63.999999999999979</v>
      </c>
      <c r="AS13" s="2">
        <f t="shared" si="6"/>
        <v>4</v>
      </c>
      <c r="AT13" s="2">
        <f t="shared" si="7"/>
        <v>1</v>
      </c>
      <c r="AU13" s="62">
        <f t="shared" si="17"/>
        <v>7.9999999999999991</v>
      </c>
      <c r="AW13" s="65" t="s">
        <v>160</v>
      </c>
      <c r="AX13" s="2">
        <f>-BA10</f>
        <v>-6</v>
      </c>
      <c r="AY13" s="2">
        <f>-BA11</f>
        <v>-4</v>
      </c>
      <c r="AZ13" s="2">
        <f>-BA12</f>
        <v>-2</v>
      </c>
      <c r="BA13" s="2">
        <v>0</v>
      </c>
      <c r="BB13" s="2">
        <v>2</v>
      </c>
      <c r="BC13" s="2">
        <v>2</v>
      </c>
      <c r="BD13" s="2">
        <f t="shared" si="18"/>
        <v>0.12499999999999997</v>
      </c>
      <c r="BE13" s="2">
        <f t="shared" si="19"/>
        <v>0.24999999999999994</v>
      </c>
      <c r="BF13" s="2">
        <f t="shared" si="20"/>
        <v>0.49999999999999994</v>
      </c>
      <c r="BG13" s="2">
        <f t="shared" si="21"/>
        <v>1</v>
      </c>
      <c r="BH13" s="2">
        <f t="shared" si="22"/>
        <v>2</v>
      </c>
      <c r="BI13" s="2">
        <f t="shared" si="23"/>
        <v>2</v>
      </c>
      <c r="BJ13" s="62">
        <f t="shared" si="24"/>
        <v>0.6299605249474366</v>
      </c>
      <c r="BK13" s="2">
        <f t="shared" si="25"/>
        <v>7.2266514890733186E-2</v>
      </c>
      <c r="BM13" s="2" t="s">
        <v>153</v>
      </c>
      <c r="BN13" s="57" t="s">
        <v>75</v>
      </c>
      <c r="BO13" s="2">
        <f t="shared" si="0"/>
        <v>4.5525051656688013E-2</v>
      </c>
      <c r="BP13" s="2">
        <f>$Y$28</f>
        <v>7.9999999999999991</v>
      </c>
      <c r="BQ13" s="2">
        <f>$Y$29</f>
        <v>3.9999999999999996</v>
      </c>
      <c r="BR13" s="2">
        <f>$Y$30</f>
        <v>0.70710678118654746</v>
      </c>
      <c r="BS13" s="2">
        <f>$Y$31</f>
        <v>4.4194173824159237E-2</v>
      </c>
    </row>
    <row r="14" spans="15:71" x14ac:dyDescent="0.3">
      <c r="AW14" s="65" t="s">
        <v>71</v>
      </c>
      <c r="AX14" s="2">
        <f>-BB10</f>
        <v>-6</v>
      </c>
      <c r="AY14" s="2">
        <f>-BB11</f>
        <v>-4</v>
      </c>
      <c r="AZ14" s="2">
        <f>-BB12</f>
        <v>-2</v>
      </c>
      <c r="BA14" s="2">
        <f>-BB13</f>
        <v>-2</v>
      </c>
      <c r="BB14" s="2">
        <v>0</v>
      </c>
      <c r="BC14" s="2">
        <v>0</v>
      </c>
      <c r="BD14" s="2">
        <f t="shared" si="18"/>
        <v>0.12499999999999997</v>
      </c>
      <c r="BE14" s="2">
        <f t="shared" si="19"/>
        <v>0.24999999999999994</v>
      </c>
      <c r="BF14" s="2">
        <f t="shared" si="20"/>
        <v>0.49999999999999994</v>
      </c>
      <c r="BG14" s="2">
        <f t="shared" si="21"/>
        <v>0.49999999999999994</v>
      </c>
      <c r="BH14" s="2">
        <f t="shared" si="22"/>
        <v>1</v>
      </c>
      <c r="BI14" s="2">
        <f t="shared" si="23"/>
        <v>1</v>
      </c>
      <c r="BJ14" s="62">
        <f t="shared" si="24"/>
        <v>0.44544935907016958</v>
      </c>
      <c r="BK14" s="2">
        <f t="shared" si="25"/>
        <v>5.1100142731956039E-2</v>
      </c>
      <c r="BM14" s="2"/>
      <c r="BN14" s="2"/>
      <c r="BO14" s="2" t="s">
        <v>233</v>
      </c>
      <c r="BP14" s="67">
        <f>($BO$8*BP8)+($BO$9*BP9)+($BO$10*BP10)+($BO$11*BP11)+($BO$12*BP12)+($BO$13*BP13)</f>
        <v>1.8082446844611502</v>
      </c>
      <c r="BQ14" s="67">
        <f t="shared" ref="BQ14:BS14" si="26">($BO$8*BQ8)+($BO$9*BQ9)+($BO$10*BQ10)+($BO$11*BQ11)+($BO$12*BQ12)+($BO$13*BQ13)</f>
        <v>0.28377302697701867</v>
      </c>
      <c r="BR14" s="67">
        <f t="shared" si="26"/>
        <v>6.2859782173884469</v>
      </c>
      <c r="BS14" s="67">
        <f t="shared" si="26"/>
        <v>7.7638407679138304</v>
      </c>
    </row>
    <row r="15" spans="15:71" x14ac:dyDescent="0.3">
      <c r="AW15" s="65" t="s">
        <v>72</v>
      </c>
      <c r="AX15" s="2">
        <f>-BC10</f>
        <v>-6</v>
      </c>
      <c r="AY15" s="2">
        <f>-BC11</f>
        <v>-6</v>
      </c>
      <c r="AZ15" s="2">
        <f>-BC12</f>
        <v>-2</v>
      </c>
      <c r="BA15" s="2">
        <f>-BC13</f>
        <v>-2</v>
      </c>
      <c r="BB15" s="2">
        <f>-BC14</f>
        <v>0</v>
      </c>
      <c r="BC15" s="2">
        <v>0</v>
      </c>
      <c r="BD15" s="2">
        <f t="shared" si="18"/>
        <v>0.12499999999999997</v>
      </c>
      <c r="BE15" s="2">
        <f t="shared" si="19"/>
        <v>0.12499999999999997</v>
      </c>
      <c r="BF15" s="2">
        <f t="shared" si="20"/>
        <v>0.49999999999999994</v>
      </c>
      <c r="BG15" s="2">
        <f t="shared" si="21"/>
        <v>0.49999999999999994</v>
      </c>
      <c r="BH15" s="2">
        <f t="shared" si="22"/>
        <v>1</v>
      </c>
      <c r="BI15" s="2">
        <f t="shared" si="23"/>
        <v>1</v>
      </c>
      <c r="BJ15" s="62">
        <f t="shared" si="24"/>
        <v>0.39685026299204984</v>
      </c>
      <c r="BK15" s="2">
        <f t="shared" si="25"/>
        <v>4.5525051656688013E-2</v>
      </c>
      <c r="BM15" s="2"/>
      <c r="BN15" s="2"/>
      <c r="BO15" s="2" t="s">
        <v>231</v>
      </c>
      <c r="BP15" s="2">
        <f>BP14*100/SUM($BP$14:$BS$14)</f>
        <v>11.202223875962595</v>
      </c>
      <c r="BQ15" s="2">
        <f t="shared" ref="BQ15:BS15" si="27">BQ14*100/SUM($BP$14:$BS$14)</f>
        <v>1.7579971369325122</v>
      </c>
      <c r="BR15" s="2">
        <f t="shared" si="27"/>
        <v>38.9421497409758</v>
      </c>
      <c r="BS15" s="2">
        <f t="shared" si="27"/>
        <v>48.097629246129081</v>
      </c>
    </row>
    <row r="16" spans="15:71" x14ac:dyDescent="0.3">
      <c r="BK16" s="2">
        <f>SUM(BK10:BK15)</f>
        <v>1</v>
      </c>
    </row>
    <row r="17" spans="15:71" x14ac:dyDescent="0.3">
      <c r="BP17" t="s">
        <v>228</v>
      </c>
    </row>
    <row r="18" spans="15:71" x14ac:dyDescent="0.3">
      <c r="AW18" s="54" t="s">
        <v>235</v>
      </c>
      <c r="BM18" s="2" t="s">
        <v>70</v>
      </c>
      <c r="BN18" s="2"/>
      <c r="BO18" s="2" t="s">
        <v>227</v>
      </c>
      <c r="BP18" s="2" t="s">
        <v>27</v>
      </c>
      <c r="BQ18" s="2" t="s">
        <v>30</v>
      </c>
      <c r="BR18" s="2" t="s">
        <v>35</v>
      </c>
      <c r="BS18" s="2" t="s">
        <v>36</v>
      </c>
    </row>
    <row r="19" spans="15:71" x14ac:dyDescent="0.3">
      <c r="AW19" s="65"/>
      <c r="AX19" s="65" t="s">
        <v>169</v>
      </c>
      <c r="AY19" s="65" t="s">
        <v>170</v>
      </c>
      <c r="AZ19" s="65" t="s">
        <v>159</v>
      </c>
      <c r="BA19" s="65" t="s">
        <v>160</v>
      </c>
      <c r="BB19" s="65" t="s">
        <v>71</v>
      </c>
      <c r="BC19" s="65" t="s">
        <v>72</v>
      </c>
      <c r="BD19" s="2"/>
      <c r="BE19" s="2"/>
      <c r="BF19" s="2"/>
      <c r="BG19" s="2"/>
      <c r="BH19" s="2"/>
      <c r="BI19" s="2"/>
      <c r="BJ19" s="65" t="s">
        <v>230</v>
      </c>
      <c r="BK19" s="65" t="s">
        <v>227</v>
      </c>
      <c r="BM19" s="2" t="s">
        <v>205</v>
      </c>
      <c r="BN19" s="57" t="s">
        <v>206</v>
      </c>
      <c r="BO19" s="2">
        <f>BK20</f>
        <v>8.0768121381165528E-2</v>
      </c>
      <c r="BP19" s="2">
        <f>$AU$10</f>
        <v>0.70710678118654746</v>
      </c>
      <c r="BQ19" s="2">
        <f>$AU$11</f>
        <v>6.2500000000000014E-2</v>
      </c>
      <c r="BR19" s="2">
        <f>$AU$12</f>
        <v>2.8284271247461898</v>
      </c>
      <c r="BS19" s="2">
        <f>$AU$13</f>
        <v>7.9999999999999991</v>
      </c>
    </row>
    <row r="20" spans="15:71" x14ac:dyDescent="0.3">
      <c r="AW20" s="65" t="s">
        <v>169</v>
      </c>
      <c r="AX20" s="2">
        <v>0</v>
      </c>
      <c r="AY20" s="2">
        <v>2</v>
      </c>
      <c r="AZ20" s="2">
        <v>-4</v>
      </c>
      <c r="BA20" s="2">
        <v>-4</v>
      </c>
      <c r="BB20" s="2">
        <v>0</v>
      </c>
      <c r="BC20" s="2">
        <v>-2</v>
      </c>
      <c r="BD20" s="2">
        <f>EXP((LN(SQRT(2)))*AX20)</f>
        <v>1</v>
      </c>
      <c r="BE20" s="2">
        <f t="shared" ref="BE20:BE25" si="28">EXP((LN(SQRT(2)))*AY20)</f>
        <v>2</v>
      </c>
      <c r="BF20" s="2">
        <f t="shared" ref="BF20:BF25" si="29">EXP((LN(SQRT(2)))*AZ20)</f>
        <v>0.24999999999999994</v>
      </c>
      <c r="BG20" s="2">
        <f t="shared" ref="BG20:BG25" si="30">EXP((LN(SQRT(2)))*BA20)</f>
        <v>0.24999999999999994</v>
      </c>
      <c r="BH20" s="2">
        <f t="shared" ref="BH20:BH25" si="31">EXP((LN(SQRT(2)))*BB20)</f>
        <v>1</v>
      </c>
      <c r="BI20" s="2">
        <f t="shared" ref="BI20:BI25" si="32">EXP((LN(SQRT(2)))*BC20)</f>
        <v>0.49999999999999994</v>
      </c>
      <c r="BJ20" s="62">
        <f>GEOMEAN(BD20:BI20)</f>
        <v>0.6299605249474366</v>
      </c>
      <c r="BK20" s="2">
        <f>BJ20/SUM($BJ$20:$BJ$25)</f>
        <v>8.0768121381165528E-2</v>
      </c>
      <c r="BM20" s="2" t="s">
        <v>205</v>
      </c>
      <c r="BN20" s="57" t="s">
        <v>207</v>
      </c>
      <c r="BO20" s="2">
        <f t="shared" ref="BO20:BO24" si="33">BK21</f>
        <v>5.088072814429731E-2</v>
      </c>
      <c r="BP20" s="2">
        <f>$AU$28</f>
        <v>0.5</v>
      </c>
      <c r="BQ20" s="2">
        <f>$AU$29</f>
        <v>2.2097086912079615E-2</v>
      </c>
      <c r="BR20" s="2">
        <f>$AU$30</f>
        <v>15.999999999999998</v>
      </c>
      <c r="BS20" s="2">
        <f>$AU$31</f>
        <v>5.6568542494923797</v>
      </c>
    </row>
    <row r="21" spans="15:71" x14ac:dyDescent="0.3">
      <c r="AW21" s="65" t="s">
        <v>170</v>
      </c>
      <c r="AX21" s="2">
        <f>-AY20</f>
        <v>-2</v>
      </c>
      <c r="AY21" s="2">
        <v>0</v>
      </c>
      <c r="AZ21" s="2">
        <v>-6</v>
      </c>
      <c r="BA21" s="2">
        <v>-6</v>
      </c>
      <c r="BB21" s="2">
        <v>0</v>
      </c>
      <c r="BC21" s="2">
        <v>-2</v>
      </c>
      <c r="BD21" s="2">
        <f t="shared" ref="BD21:BD25" si="34">EXP((LN(SQRT(2)))*AX21)</f>
        <v>0.49999999999999994</v>
      </c>
      <c r="BE21" s="2">
        <f t="shared" si="28"/>
        <v>1</v>
      </c>
      <c r="BF21" s="2">
        <f t="shared" si="29"/>
        <v>0.12499999999999997</v>
      </c>
      <c r="BG21" s="2">
        <f t="shared" si="30"/>
        <v>0.12499999999999997</v>
      </c>
      <c r="BH21" s="2">
        <f t="shared" si="31"/>
        <v>1</v>
      </c>
      <c r="BI21" s="2">
        <f t="shared" si="32"/>
        <v>0.49999999999999994</v>
      </c>
      <c r="BJ21" s="62">
        <f t="shared" ref="BJ21:BJ25" si="35">GEOMEAN(BD21:BI21)</f>
        <v>0.39685026299204984</v>
      </c>
      <c r="BK21" s="2">
        <f t="shared" ref="BK21:BK25" si="36">BJ21/SUM($BJ$20:$BJ$25)</f>
        <v>5.088072814429731E-2</v>
      </c>
      <c r="BM21" s="2" t="s">
        <v>179</v>
      </c>
      <c r="BN21" s="57" t="s">
        <v>178</v>
      </c>
      <c r="BO21" s="2">
        <f t="shared" si="33"/>
        <v>0.40704582515437854</v>
      </c>
      <c r="BP21" s="2">
        <f>$AJ$10</f>
        <v>0.25</v>
      </c>
      <c r="BQ21" s="2">
        <f>$AJ$11</f>
        <v>6.2500000000000014E-2</v>
      </c>
      <c r="BR21" s="2">
        <f>$AJ$12</f>
        <v>2.8284271247461898</v>
      </c>
      <c r="BS21" s="2">
        <f>$AJ$13</f>
        <v>22.627416997969515</v>
      </c>
    </row>
    <row r="22" spans="15:71" x14ac:dyDescent="0.3">
      <c r="AW22" s="65" t="s">
        <v>159</v>
      </c>
      <c r="AX22" s="2">
        <f>-AZ20</f>
        <v>4</v>
      </c>
      <c r="AY22" s="2">
        <f>-AZ21</f>
        <v>6</v>
      </c>
      <c r="AZ22" s="2">
        <v>0</v>
      </c>
      <c r="BA22" s="2">
        <v>2</v>
      </c>
      <c r="BB22" s="2">
        <v>4</v>
      </c>
      <c r="BC22" s="2">
        <v>4</v>
      </c>
      <c r="BD22" s="2">
        <f t="shared" si="34"/>
        <v>4.0000000000000009</v>
      </c>
      <c r="BE22" s="2">
        <f t="shared" si="28"/>
        <v>8.0000000000000018</v>
      </c>
      <c r="BF22" s="2">
        <f t="shared" si="29"/>
        <v>1</v>
      </c>
      <c r="BG22" s="2">
        <f t="shared" si="30"/>
        <v>2</v>
      </c>
      <c r="BH22" s="2">
        <f t="shared" si="31"/>
        <v>4.0000000000000009</v>
      </c>
      <c r="BI22" s="2">
        <f t="shared" si="32"/>
        <v>4.0000000000000009</v>
      </c>
      <c r="BJ22" s="62">
        <f t="shared" si="35"/>
        <v>3.1748021039363992</v>
      </c>
      <c r="BK22" s="2">
        <f t="shared" si="36"/>
        <v>0.40704582515437854</v>
      </c>
      <c r="BM22" s="2" t="s">
        <v>179</v>
      </c>
      <c r="BN22" s="66" t="s">
        <v>180</v>
      </c>
      <c r="BO22" s="2">
        <f t="shared" si="33"/>
        <v>0.25642280169191478</v>
      </c>
      <c r="BP22" s="2">
        <f>$AJ$28</f>
        <v>11.313708498984759</v>
      </c>
      <c r="BQ22" s="2">
        <f>$AJ$29</f>
        <v>0.125</v>
      </c>
      <c r="BR22" s="2">
        <f>$AJ$30</f>
        <v>1.4142135623730949</v>
      </c>
      <c r="BS22" s="2">
        <f>$AJ$31</f>
        <v>0.5</v>
      </c>
    </row>
    <row r="23" spans="15:71" x14ac:dyDescent="0.3">
      <c r="AW23" s="65" t="s">
        <v>160</v>
      </c>
      <c r="AX23" s="2">
        <f>-BA20</f>
        <v>4</v>
      </c>
      <c r="AY23" s="2">
        <f>-BA21</f>
        <v>6</v>
      </c>
      <c r="AZ23" s="2">
        <f>-BA22</f>
        <v>-2</v>
      </c>
      <c r="BA23" s="2">
        <v>0</v>
      </c>
      <c r="BB23" s="2">
        <v>2</v>
      </c>
      <c r="BC23" s="2">
        <v>2</v>
      </c>
      <c r="BD23" s="2">
        <f t="shared" si="34"/>
        <v>4.0000000000000009</v>
      </c>
      <c r="BE23" s="2">
        <f t="shared" si="28"/>
        <v>8.0000000000000018</v>
      </c>
      <c r="BF23" s="2">
        <f t="shared" si="29"/>
        <v>0.49999999999999994</v>
      </c>
      <c r="BG23" s="2">
        <f t="shared" si="30"/>
        <v>1</v>
      </c>
      <c r="BH23" s="2">
        <f t="shared" si="31"/>
        <v>2</v>
      </c>
      <c r="BI23" s="2">
        <f t="shared" si="32"/>
        <v>2</v>
      </c>
      <c r="BJ23" s="62">
        <f t="shared" si="35"/>
        <v>2</v>
      </c>
      <c r="BK23" s="2">
        <f t="shared" si="36"/>
        <v>0.25642280169191478</v>
      </c>
      <c r="BM23" s="2" t="s">
        <v>153</v>
      </c>
      <c r="BN23" s="57" t="s">
        <v>74</v>
      </c>
      <c r="BO23" s="2">
        <f t="shared" si="33"/>
        <v>9.0659150963603122E-2</v>
      </c>
      <c r="BP23" s="2">
        <f>$Y$10</f>
        <v>2.8284271247461898</v>
      </c>
      <c r="BQ23" s="2">
        <f>$Y$11</f>
        <v>0.99999999999999989</v>
      </c>
      <c r="BR23" s="2">
        <f>$Y$12</f>
        <v>7.9999999999999991</v>
      </c>
      <c r="BS23" s="2">
        <f>$Y$13</f>
        <v>4.4194173824159237E-2</v>
      </c>
    </row>
    <row r="24" spans="15:71" x14ac:dyDescent="0.3">
      <c r="O24" t="s">
        <v>72</v>
      </c>
      <c r="P24" s="44" t="s">
        <v>75</v>
      </c>
      <c r="Z24" t="s">
        <v>160</v>
      </c>
      <c r="AA24" s="54" t="s">
        <v>180</v>
      </c>
      <c r="AK24" t="s">
        <v>170</v>
      </c>
      <c r="AL24" s="44" t="s">
        <v>207</v>
      </c>
      <c r="AW24" s="65" t="s">
        <v>71</v>
      </c>
      <c r="AX24" s="2">
        <f>-BB20</f>
        <v>0</v>
      </c>
      <c r="AY24" s="2">
        <f>-BB21</f>
        <v>0</v>
      </c>
      <c r="AZ24" s="2">
        <f>-BB22</f>
        <v>-4</v>
      </c>
      <c r="BA24" s="2">
        <f>-BB23</f>
        <v>-2</v>
      </c>
      <c r="BB24" s="2">
        <v>0</v>
      </c>
      <c r="BC24" s="2">
        <v>0</v>
      </c>
      <c r="BD24" s="2">
        <f t="shared" si="34"/>
        <v>1</v>
      </c>
      <c r="BE24" s="2">
        <f t="shared" si="28"/>
        <v>1</v>
      </c>
      <c r="BF24" s="2">
        <f t="shared" si="29"/>
        <v>0.24999999999999994</v>
      </c>
      <c r="BG24" s="2">
        <f t="shared" si="30"/>
        <v>0.49999999999999994</v>
      </c>
      <c r="BH24" s="2">
        <f t="shared" si="31"/>
        <v>1</v>
      </c>
      <c r="BI24" s="2">
        <f t="shared" si="32"/>
        <v>1</v>
      </c>
      <c r="BJ24" s="62">
        <f t="shared" si="35"/>
        <v>0.70710678118654746</v>
      </c>
      <c r="BK24" s="2">
        <f t="shared" si="36"/>
        <v>9.0659150963603122E-2</v>
      </c>
      <c r="BM24" s="2" t="s">
        <v>153</v>
      </c>
      <c r="BN24" s="57" t="s">
        <v>75</v>
      </c>
      <c r="BO24" s="2">
        <f t="shared" si="33"/>
        <v>0.11422337266464065</v>
      </c>
      <c r="BP24" s="2">
        <f>$Y$28</f>
        <v>7.9999999999999991</v>
      </c>
      <c r="BQ24" s="2">
        <f>$Y$29</f>
        <v>3.9999999999999996</v>
      </c>
      <c r="BR24" s="2">
        <f>$Y$30</f>
        <v>0.70710678118654746</v>
      </c>
      <c r="BS24" s="2">
        <f>$Y$31</f>
        <v>4.4194173824159237E-2</v>
      </c>
    </row>
    <row r="25" spans="15:71" x14ac:dyDescent="0.3">
      <c r="P25" s="44"/>
      <c r="AA25" s="54"/>
      <c r="AL25" s="44"/>
      <c r="AW25" s="65" t="s">
        <v>72</v>
      </c>
      <c r="AX25" s="2">
        <f>-BC20</f>
        <v>2</v>
      </c>
      <c r="AY25" s="2">
        <f>-BC21</f>
        <v>2</v>
      </c>
      <c r="AZ25" s="2">
        <f>-BC22</f>
        <v>-4</v>
      </c>
      <c r="BA25" s="2">
        <f>-BC23</f>
        <v>-2</v>
      </c>
      <c r="BB25" s="2">
        <f>-BC24</f>
        <v>0</v>
      </c>
      <c r="BC25" s="2">
        <v>0</v>
      </c>
      <c r="BD25" s="2">
        <f t="shared" si="34"/>
        <v>2</v>
      </c>
      <c r="BE25" s="2">
        <f t="shared" si="28"/>
        <v>2</v>
      </c>
      <c r="BF25" s="2">
        <f t="shared" si="29"/>
        <v>0.24999999999999994</v>
      </c>
      <c r="BG25" s="2">
        <f t="shared" si="30"/>
        <v>0.49999999999999994</v>
      </c>
      <c r="BH25" s="2">
        <f t="shared" si="31"/>
        <v>1</v>
      </c>
      <c r="BI25" s="2">
        <f t="shared" si="32"/>
        <v>1</v>
      </c>
      <c r="BJ25" s="62">
        <f t="shared" si="35"/>
        <v>0.89089871814033927</v>
      </c>
      <c r="BK25" s="2">
        <f t="shared" si="36"/>
        <v>0.11422337266464065</v>
      </c>
      <c r="BM25" s="2"/>
      <c r="BN25" s="2"/>
      <c r="BO25" s="2" t="s">
        <v>233</v>
      </c>
      <c r="BP25" s="67">
        <f>($BO$19*BP19)+($BO$20*BP20)+($BO$21*BP21)+($BO$22*BP22)+($BO$23*BP23)+($BO$24*BP24)</f>
        <v>4.255616120537403</v>
      </c>
      <c r="BQ25" s="67">
        <f t="shared" ref="BQ25:BS25" si="37">($BO$19*BQ19)+($BO$20*BQ20)+($BO$21*BQ21)+($BO$22*BQ22)+($BO$23*BQ23)+($BO$24*BQ24)</f>
        <v>0.61121817936408096</v>
      </c>
      <c r="BR25" s="67">
        <f t="shared" si="37"/>
        <v>3.3625157814637801</v>
      </c>
      <c r="BS25" s="67">
        <f t="shared" si="37"/>
        <v>10.281631472029087</v>
      </c>
    </row>
    <row r="26" spans="15:71" x14ac:dyDescent="0.3">
      <c r="BK26" s="2">
        <f>SUM(BK20:BK25)</f>
        <v>0.99999999999999989</v>
      </c>
      <c r="BM26" s="2"/>
      <c r="BN26" s="2"/>
      <c r="BO26" s="2" t="s">
        <v>231</v>
      </c>
      <c r="BP26" s="2">
        <f>BP25*100/SUM($BP$25:$BS$25)</f>
        <v>22.98968376291776</v>
      </c>
      <c r="BQ26" s="2">
        <f t="shared" ref="BQ26:BS26" si="38">BQ25*100/SUM($BP$25:$BS$25)</f>
        <v>3.3019220380131711</v>
      </c>
      <c r="BR26" s="2">
        <f t="shared" si="38"/>
        <v>18.164978295530723</v>
      </c>
      <c r="BS26" s="2">
        <f t="shared" si="38"/>
        <v>55.543415903538339</v>
      </c>
    </row>
    <row r="27" spans="15:71" x14ac:dyDescent="0.3">
      <c r="P27" s="47"/>
      <c r="Q27" s="47" t="s">
        <v>27</v>
      </c>
      <c r="R27" s="47" t="s">
        <v>30</v>
      </c>
      <c r="S27" s="47" t="s">
        <v>35</v>
      </c>
      <c r="T27" s="47" t="s">
        <v>36</v>
      </c>
      <c r="U27" s="2"/>
      <c r="V27" s="2"/>
      <c r="W27" s="2"/>
      <c r="X27" s="2"/>
      <c r="Y27" s="47" t="s">
        <v>230</v>
      </c>
      <c r="AA27" s="63"/>
      <c r="AB27" s="63" t="s">
        <v>27</v>
      </c>
      <c r="AC27" s="63" t="s">
        <v>30</v>
      </c>
      <c r="AD27" s="63" t="s">
        <v>35</v>
      </c>
      <c r="AE27" s="63" t="s">
        <v>36</v>
      </c>
      <c r="AF27" s="2"/>
      <c r="AG27" s="2"/>
      <c r="AH27" s="2"/>
      <c r="AI27" s="2"/>
      <c r="AJ27" s="63" t="s">
        <v>230</v>
      </c>
      <c r="AL27" s="64"/>
      <c r="AM27" s="64" t="s">
        <v>27</v>
      </c>
      <c r="AN27" s="64" t="s">
        <v>30</v>
      </c>
      <c r="AO27" s="64" t="s">
        <v>35</v>
      </c>
      <c r="AP27" s="64" t="s">
        <v>36</v>
      </c>
      <c r="AQ27" s="2"/>
      <c r="AR27" s="2"/>
      <c r="AS27" s="2"/>
      <c r="AT27" s="2"/>
      <c r="AU27" s="64" t="s">
        <v>230</v>
      </c>
    </row>
    <row r="28" spans="15:71" x14ac:dyDescent="0.3">
      <c r="P28" s="47" t="s">
        <v>27</v>
      </c>
      <c r="Q28" s="2">
        <f>'MCDA - Social'!J27</f>
        <v>0</v>
      </c>
      <c r="R28" s="2">
        <f>'MCDA - Social'!K27</f>
        <v>2</v>
      </c>
      <c r="S28" s="2">
        <f>'MCDA - Social'!L27</f>
        <v>4</v>
      </c>
      <c r="T28" s="2">
        <f>'MCDA - Social'!M27</f>
        <v>6</v>
      </c>
      <c r="U28" s="2">
        <f>EXP((LN(2)*Q28))</f>
        <v>1</v>
      </c>
      <c r="V28" s="2">
        <f t="shared" ref="V28:V31" si="39">EXP((LN(2)*R28))</f>
        <v>4</v>
      </c>
      <c r="W28" s="2">
        <f t="shared" ref="W28:W31" si="40">EXP((LN(2)*S28))</f>
        <v>15.999999999999998</v>
      </c>
      <c r="X28" s="2">
        <f t="shared" ref="X28:X31" si="41">EXP((LN(2)*T28))</f>
        <v>63.999999999999979</v>
      </c>
      <c r="Y28" s="62">
        <f>GEOMEAN(U28:X28)</f>
        <v>7.9999999999999991</v>
      </c>
      <c r="AA28" s="63" t="s">
        <v>27</v>
      </c>
      <c r="AB28" s="61">
        <f>'MCDA - Environment'!AC30</f>
        <v>0</v>
      </c>
      <c r="AC28" s="61">
        <f>'MCDA - Environment'!AD30</f>
        <v>6</v>
      </c>
      <c r="AD28" s="61">
        <f>'MCDA - Environment'!AE30</f>
        <v>4</v>
      </c>
      <c r="AE28" s="61">
        <f>'MCDA - Environment'!AF30</f>
        <v>4</v>
      </c>
      <c r="AF28" s="2">
        <f>EXP((LN(2)*AB28))</f>
        <v>1</v>
      </c>
      <c r="AG28" s="2">
        <f t="shared" ref="AG28:AG31" si="42">EXP((LN(2)*AC28))</f>
        <v>63.999999999999979</v>
      </c>
      <c r="AH28" s="2">
        <f t="shared" ref="AH28:AH31" si="43">EXP((LN(2)*AD28))</f>
        <v>15.999999999999998</v>
      </c>
      <c r="AI28" s="2">
        <f t="shared" ref="AI28:AI31" si="44">EXP((LN(2)*AE28))</f>
        <v>15.999999999999998</v>
      </c>
      <c r="AJ28" s="62">
        <f>GEOMEAN(AF28:AI28)</f>
        <v>11.313708498984759</v>
      </c>
      <c r="AL28" s="64" t="s">
        <v>27</v>
      </c>
      <c r="AM28" s="61">
        <f>'MCDA - Economic'!W69</f>
        <v>0</v>
      </c>
      <c r="AN28" s="61">
        <f>'MCDA - Economic'!X69</f>
        <v>6</v>
      </c>
      <c r="AO28" s="61">
        <f>'MCDA - Economic'!Y69</f>
        <v>-6</v>
      </c>
      <c r="AP28" s="61">
        <f>'MCDA - Economic'!Z69</f>
        <v>-4</v>
      </c>
      <c r="AQ28" s="2">
        <f>EXP((LN(2)*AM28))</f>
        <v>1</v>
      </c>
      <c r="AR28" s="2">
        <f t="shared" ref="AR28:AR31" si="45">EXP((LN(2)*AN28))</f>
        <v>63.999999999999979</v>
      </c>
      <c r="AS28" s="2">
        <f t="shared" ref="AS28:AS31" si="46">EXP((LN(2)*AO28))</f>
        <v>1.5625000000000007E-2</v>
      </c>
      <c r="AT28" s="2">
        <f t="shared" ref="AT28:AT31" si="47">EXP((LN(2)*AP28))</f>
        <v>6.25E-2</v>
      </c>
      <c r="AU28" s="62">
        <f>GEOMEAN(AQ28:AT28)</f>
        <v>0.5</v>
      </c>
      <c r="AW28" s="54" t="s">
        <v>236</v>
      </c>
      <c r="BP28" t="s">
        <v>228</v>
      </c>
    </row>
    <row r="29" spans="15:71" x14ac:dyDescent="0.3">
      <c r="P29" s="47" t="s">
        <v>30</v>
      </c>
      <c r="Q29" s="2">
        <f>'MCDA - Social'!J28</f>
        <v>-2</v>
      </c>
      <c r="R29" s="2">
        <f>'MCDA - Social'!K28</f>
        <v>0</v>
      </c>
      <c r="S29" s="2">
        <f>'MCDA - Social'!L28</f>
        <v>4</v>
      </c>
      <c r="T29" s="2">
        <f>'MCDA - Social'!M28</f>
        <v>6</v>
      </c>
      <c r="U29" s="2">
        <f t="shared" ref="U29:U31" si="48">EXP((LN(2)*Q29))</f>
        <v>0.25</v>
      </c>
      <c r="V29" s="2">
        <f t="shared" si="39"/>
        <v>1</v>
      </c>
      <c r="W29" s="2">
        <f t="shared" si="40"/>
        <v>15.999999999999998</v>
      </c>
      <c r="X29" s="2">
        <f t="shared" si="41"/>
        <v>63.999999999999979</v>
      </c>
      <c r="Y29" s="62">
        <f t="shared" ref="Y29:Y31" si="49">GEOMEAN(U29:X29)</f>
        <v>3.9999999999999996</v>
      </c>
      <c r="AA29" s="63" t="s">
        <v>30</v>
      </c>
      <c r="AB29" s="61">
        <f>'MCDA - Environment'!AC31</f>
        <v>-6</v>
      </c>
      <c r="AC29" s="61">
        <f>'MCDA - Environment'!AD31</f>
        <v>0</v>
      </c>
      <c r="AD29" s="61">
        <f>'MCDA - Environment'!AE31</f>
        <v>-4</v>
      </c>
      <c r="AE29" s="61">
        <f>'MCDA - Environment'!AF31</f>
        <v>-2</v>
      </c>
      <c r="AF29" s="2">
        <f t="shared" ref="AF29:AF31" si="50">EXP((LN(2)*AB29))</f>
        <v>1.5625000000000007E-2</v>
      </c>
      <c r="AG29" s="2">
        <f t="shared" si="42"/>
        <v>1</v>
      </c>
      <c r="AH29" s="2">
        <f t="shared" si="43"/>
        <v>6.25E-2</v>
      </c>
      <c r="AI29" s="2">
        <f t="shared" si="44"/>
        <v>0.25</v>
      </c>
      <c r="AJ29" s="62">
        <f t="shared" ref="AJ29:AJ31" si="51">GEOMEAN(AF29:AI29)</f>
        <v>0.125</v>
      </c>
      <c r="AL29" s="64" t="s">
        <v>30</v>
      </c>
      <c r="AM29" s="61">
        <f>'MCDA - Economic'!W70</f>
        <v>-6</v>
      </c>
      <c r="AN29" s="61">
        <f>'MCDA - Economic'!X70</f>
        <v>0</v>
      </c>
      <c r="AO29" s="61">
        <f>'MCDA - Economic'!Y70</f>
        <v>-8</v>
      </c>
      <c r="AP29" s="61">
        <f>'MCDA - Economic'!Z70</f>
        <v>-8</v>
      </c>
      <c r="AQ29" s="2">
        <f t="shared" ref="AQ29:AQ31" si="52">EXP((LN(2)*AM29))</f>
        <v>1.5625000000000007E-2</v>
      </c>
      <c r="AR29" s="2">
        <f t="shared" si="45"/>
        <v>1</v>
      </c>
      <c r="AS29" s="2">
        <f t="shared" si="46"/>
        <v>3.9062500000000009E-3</v>
      </c>
      <c r="AT29" s="2">
        <f t="shared" si="47"/>
        <v>3.9062500000000009E-3</v>
      </c>
      <c r="AU29" s="62">
        <f t="shared" ref="AU29:AU31" si="53">GEOMEAN(AQ29:AT29)</f>
        <v>2.2097086912079615E-2</v>
      </c>
      <c r="AW29" s="65"/>
      <c r="AX29" s="65" t="s">
        <v>169</v>
      </c>
      <c r="AY29" s="65" t="s">
        <v>170</v>
      </c>
      <c r="AZ29" s="65" t="s">
        <v>159</v>
      </c>
      <c r="BA29" s="65" t="s">
        <v>160</v>
      </c>
      <c r="BB29" s="65" t="s">
        <v>71</v>
      </c>
      <c r="BC29" s="65" t="s">
        <v>72</v>
      </c>
      <c r="BD29" s="2"/>
      <c r="BE29" s="2"/>
      <c r="BF29" s="2"/>
      <c r="BG29" s="2"/>
      <c r="BH29" s="2"/>
      <c r="BI29" s="2"/>
      <c r="BJ29" s="65" t="s">
        <v>230</v>
      </c>
      <c r="BK29" s="65" t="s">
        <v>227</v>
      </c>
      <c r="BM29" s="2" t="s">
        <v>70</v>
      </c>
      <c r="BN29" s="2"/>
      <c r="BO29" s="2" t="s">
        <v>227</v>
      </c>
      <c r="BP29" s="2" t="s">
        <v>27</v>
      </c>
      <c r="BQ29" s="2" t="s">
        <v>30</v>
      </c>
      <c r="BR29" s="2" t="s">
        <v>35</v>
      </c>
      <c r="BS29" s="2" t="s">
        <v>36</v>
      </c>
    </row>
    <row r="30" spans="15:71" x14ac:dyDescent="0.3">
      <c r="P30" s="47" t="s">
        <v>35</v>
      </c>
      <c r="Q30" s="2">
        <f>'MCDA - Social'!J29</f>
        <v>-4</v>
      </c>
      <c r="R30" s="2">
        <f>'MCDA - Social'!K29</f>
        <v>-4</v>
      </c>
      <c r="S30" s="2">
        <f>'MCDA - Social'!L29</f>
        <v>0</v>
      </c>
      <c r="T30" s="2">
        <f>'MCDA - Social'!M29</f>
        <v>6</v>
      </c>
      <c r="U30" s="2">
        <f t="shared" si="48"/>
        <v>6.25E-2</v>
      </c>
      <c r="V30" s="2">
        <f t="shared" si="39"/>
        <v>6.25E-2</v>
      </c>
      <c r="W30" s="2">
        <f t="shared" si="40"/>
        <v>1</v>
      </c>
      <c r="X30" s="2">
        <f t="shared" si="41"/>
        <v>63.999999999999979</v>
      </c>
      <c r="Y30" s="62">
        <f t="shared" si="49"/>
        <v>0.70710678118654746</v>
      </c>
      <c r="AA30" s="63" t="s">
        <v>35</v>
      </c>
      <c r="AB30" s="61">
        <f>'MCDA - Environment'!AC32</f>
        <v>-4</v>
      </c>
      <c r="AC30" s="61">
        <f>'MCDA - Environment'!AD32</f>
        <v>4</v>
      </c>
      <c r="AD30" s="61">
        <f>'MCDA - Environment'!AE32</f>
        <v>0</v>
      </c>
      <c r="AE30" s="61">
        <f>'MCDA - Environment'!AF32</f>
        <v>2</v>
      </c>
      <c r="AF30" s="2">
        <f t="shared" si="50"/>
        <v>6.25E-2</v>
      </c>
      <c r="AG30" s="2">
        <f t="shared" si="42"/>
        <v>15.999999999999998</v>
      </c>
      <c r="AH30" s="2">
        <f t="shared" si="43"/>
        <v>1</v>
      </c>
      <c r="AI30" s="2">
        <f t="shared" si="44"/>
        <v>4</v>
      </c>
      <c r="AJ30" s="62">
        <f t="shared" si="51"/>
        <v>1.4142135623730949</v>
      </c>
      <c r="AL30" s="64" t="s">
        <v>35</v>
      </c>
      <c r="AM30" s="61">
        <f>'MCDA - Economic'!W71</f>
        <v>6</v>
      </c>
      <c r="AN30" s="61">
        <f>'MCDA - Economic'!X71</f>
        <v>8</v>
      </c>
      <c r="AO30" s="61">
        <f>'MCDA - Economic'!Y71</f>
        <v>0</v>
      </c>
      <c r="AP30" s="61">
        <f>'MCDA - Economic'!Z71</f>
        <v>2</v>
      </c>
      <c r="AQ30" s="2">
        <f t="shared" si="52"/>
        <v>63.999999999999979</v>
      </c>
      <c r="AR30" s="2">
        <f t="shared" si="45"/>
        <v>255.99999999999994</v>
      </c>
      <c r="AS30" s="2">
        <f t="shared" si="46"/>
        <v>1</v>
      </c>
      <c r="AT30" s="2">
        <f t="shared" si="47"/>
        <v>4</v>
      </c>
      <c r="AU30" s="62">
        <f t="shared" si="53"/>
        <v>15.999999999999998</v>
      </c>
      <c r="AW30" s="65" t="s">
        <v>169</v>
      </c>
      <c r="AX30" s="2">
        <v>0</v>
      </c>
      <c r="AY30" s="2">
        <v>-2</v>
      </c>
      <c r="AZ30" s="2">
        <v>2</v>
      </c>
      <c r="BA30" s="2">
        <v>2</v>
      </c>
      <c r="BB30" s="2">
        <v>-4</v>
      </c>
      <c r="BC30" s="2">
        <v>2</v>
      </c>
      <c r="BD30" s="2">
        <f>EXP((LN(SQRT(2)))*AX30)</f>
        <v>1</v>
      </c>
      <c r="BE30" s="2">
        <f t="shared" ref="BE30:BE35" si="54">EXP((LN(SQRT(2)))*AY30)</f>
        <v>0.49999999999999994</v>
      </c>
      <c r="BF30" s="2">
        <f t="shared" ref="BF30:BF35" si="55">EXP((LN(SQRT(2)))*AZ30)</f>
        <v>2</v>
      </c>
      <c r="BG30" s="2">
        <f t="shared" ref="BG30:BG35" si="56">EXP((LN(SQRT(2)))*BA30)</f>
        <v>2</v>
      </c>
      <c r="BH30" s="2">
        <f t="shared" ref="BH30:BH35" si="57">EXP((LN(SQRT(2)))*BB30)</f>
        <v>0.24999999999999994</v>
      </c>
      <c r="BI30" s="2">
        <f t="shared" ref="BI30:BI35" si="58">EXP((LN(SQRT(2)))*BC30)</f>
        <v>2</v>
      </c>
      <c r="BJ30" s="62">
        <f>GEOMEAN(BD30:BI30)</f>
        <v>1</v>
      </c>
      <c r="BK30" s="2">
        <f>BJ30/SUM($BJ$30:$BJ$35)</f>
        <v>0.14707281751517104</v>
      </c>
      <c r="BM30" s="2" t="s">
        <v>205</v>
      </c>
      <c r="BN30" s="57" t="s">
        <v>206</v>
      </c>
      <c r="BO30" s="2">
        <f>BK30</f>
        <v>0.14707281751517104</v>
      </c>
      <c r="BP30" s="2">
        <f>$AU$10</f>
        <v>0.70710678118654746</v>
      </c>
      <c r="BQ30" s="2">
        <f>$AU$11</f>
        <v>6.2500000000000014E-2</v>
      </c>
      <c r="BR30" s="2">
        <f>$AU$12</f>
        <v>2.8284271247461898</v>
      </c>
      <c r="BS30" s="2">
        <f>$AU$13</f>
        <v>7.9999999999999991</v>
      </c>
    </row>
    <row r="31" spans="15:71" x14ac:dyDescent="0.3">
      <c r="P31" s="47" t="s">
        <v>36</v>
      </c>
      <c r="Q31" s="2">
        <f>'MCDA - Social'!J30</f>
        <v>-6</v>
      </c>
      <c r="R31" s="2">
        <f>'MCDA - Social'!K30</f>
        <v>-6</v>
      </c>
      <c r="S31" s="2">
        <f>'MCDA - Social'!L30</f>
        <v>-6</v>
      </c>
      <c r="T31" s="2">
        <f>'MCDA - Social'!M30</f>
        <v>0</v>
      </c>
      <c r="U31" s="2">
        <f t="shared" si="48"/>
        <v>1.5625000000000007E-2</v>
      </c>
      <c r="V31" s="2">
        <f t="shared" si="39"/>
        <v>1.5625000000000007E-2</v>
      </c>
      <c r="W31" s="2">
        <f t="shared" si="40"/>
        <v>1.5625000000000007E-2</v>
      </c>
      <c r="X31" s="2">
        <f t="shared" si="41"/>
        <v>1</v>
      </c>
      <c r="Y31" s="62">
        <f t="shared" si="49"/>
        <v>4.4194173824159237E-2</v>
      </c>
      <c r="AA31" s="63" t="s">
        <v>36</v>
      </c>
      <c r="AB31" s="61">
        <f>'MCDA - Environment'!AC33</f>
        <v>-4</v>
      </c>
      <c r="AC31" s="61">
        <f>'MCDA - Environment'!AD33</f>
        <v>2</v>
      </c>
      <c r="AD31" s="61">
        <f>'MCDA - Environment'!AE33</f>
        <v>-2</v>
      </c>
      <c r="AE31" s="61">
        <f>'MCDA - Environment'!AF33</f>
        <v>0</v>
      </c>
      <c r="AF31" s="2">
        <f t="shared" si="50"/>
        <v>6.25E-2</v>
      </c>
      <c r="AG31" s="2">
        <f t="shared" si="42"/>
        <v>4</v>
      </c>
      <c r="AH31" s="2">
        <f t="shared" si="43"/>
        <v>0.25</v>
      </c>
      <c r="AI31" s="2">
        <f t="shared" si="44"/>
        <v>1</v>
      </c>
      <c r="AJ31" s="62">
        <f t="shared" si="51"/>
        <v>0.5</v>
      </c>
      <c r="AL31" s="64" t="s">
        <v>36</v>
      </c>
      <c r="AM31" s="61">
        <f>'MCDA - Economic'!W72</f>
        <v>4</v>
      </c>
      <c r="AN31" s="61">
        <f>'MCDA - Economic'!X72</f>
        <v>8</v>
      </c>
      <c r="AO31" s="61">
        <f>'MCDA - Economic'!Y72</f>
        <v>-2</v>
      </c>
      <c r="AP31" s="61">
        <f>'MCDA - Economic'!Z72</f>
        <v>0</v>
      </c>
      <c r="AQ31" s="2">
        <f t="shared" si="52"/>
        <v>15.999999999999998</v>
      </c>
      <c r="AR31" s="2">
        <f t="shared" si="45"/>
        <v>255.99999999999994</v>
      </c>
      <c r="AS31" s="2">
        <f t="shared" si="46"/>
        <v>0.25</v>
      </c>
      <c r="AT31" s="2">
        <f t="shared" si="47"/>
        <v>1</v>
      </c>
      <c r="AU31" s="62">
        <f t="shared" si="53"/>
        <v>5.6568542494923797</v>
      </c>
      <c r="AW31" s="65" t="s">
        <v>170</v>
      </c>
      <c r="AX31" s="2">
        <f>-AY30</f>
        <v>2</v>
      </c>
      <c r="AY31" s="2">
        <v>0</v>
      </c>
      <c r="AZ31" s="2">
        <v>4</v>
      </c>
      <c r="BA31" s="2">
        <v>2</v>
      </c>
      <c r="BB31" s="2">
        <v>-2</v>
      </c>
      <c r="BC31" s="2">
        <v>2</v>
      </c>
      <c r="BD31" s="2">
        <f t="shared" ref="BD31:BD35" si="59">EXP((LN(SQRT(2)))*AX31)</f>
        <v>2</v>
      </c>
      <c r="BE31" s="2">
        <f t="shared" si="54"/>
        <v>1</v>
      </c>
      <c r="BF31" s="2">
        <f t="shared" si="55"/>
        <v>4.0000000000000009</v>
      </c>
      <c r="BG31" s="2">
        <f t="shared" si="56"/>
        <v>2</v>
      </c>
      <c r="BH31" s="2">
        <f t="shared" si="57"/>
        <v>0.49999999999999994</v>
      </c>
      <c r="BI31" s="2">
        <f t="shared" si="58"/>
        <v>2</v>
      </c>
      <c r="BJ31" s="62">
        <f t="shared" ref="BJ31:BJ35" si="60">GEOMEAN(BD31:BI31)</f>
        <v>1.5874010519681994</v>
      </c>
      <c r="BK31" s="2">
        <f t="shared" ref="BK31:BK35" si="61">BJ31/SUM($BJ$30:$BJ$35)</f>
        <v>0.23346354523950952</v>
      </c>
      <c r="BM31" s="2" t="s">
        <v>205</v>
      </c>
      <c r="BN31" s="57" t="s">
        <v>207</v>
      </c>
      <c r="BO31" s="2">
        <f t="shared" ref="BO31:BO35" si="62">BK31</f>
        <v>0.23346354523950952</v>
      </c>
      <c r="BP31" s="2">
        <f>$AU$28</f>
        <v>0.5</v>
      </c>
      <c r="BQ31" s="2">
        <f>$AU$29</f>
        <v>2.2097086912079615E-2</v>
      </c>
      <c r="BR31" s="2">
        <f>$AU$30</f>
        <v>15.999999999999998</v>
      </c>
      <c r="BS31" s="2">
        <f>$AU$31</f>
        <v>5.6568542494923797</v>
      </c>
    </row>
    <row r="32" spans="15:71" x14ac:dyDescent="0.3">
      <c r="AW32" s="65" t="s">
        <v>159</v>
      </c>
      <c r="AX32" s="2">
        <f>-AZ30</f>
        <v>-2</v>
      </c>
      <c r="AY32" s="2">
        <f>-AZ31</f>
        <v>-4</v>
      </c>
      <c r="AZ32" s="2">
        <v>0</v>
      </c>
      <c r="BA32" s="2">
        <v>0</v>
      </c>
      <c r="BB32" s="2">
        <v>-2</v>
      </c>
      <c r="BC32" s="2">
        <v>0</v>
      </c>
      <c r="BD32" s="2">
        <f t="shared" si="59"/>
        <v>0.49999999999999994</v>
      </c>
      <c r="BE32" s="2">
        <f t="shared" si="54"/>
        <v>0.24999999999999994</v>
      </c>
      <c r="BF32" s="2">
        <f t="shared" si="55"/>
        <v>1</v>
      </c>
      <c r="BG32" s="2">
        <f t="shared" si="56"/>
        <v>1</v>
      </c>
      <c r="BH32" s="2">
        <f t="shared" si="57"/>
        <v>0.49999999999999994</v>
      </c>
      <c r="BI32" s="2">
        <f t="shared" si="58"/>
        <v>1</v>
      </c>
      <c r="BJ32" s="62">
        <f t="shared" si="60"/>
        <v>0.6299605249474366</v>
      </c>
      <c r="BK32" s="2">
        <f t="shared" si="61"/>
        <v>9.2650069327355686E-2</v>
      </c>
      <c r="BM32" s="2" t="s">
        <v>179</v>
      </c>
      <c r="BN32" s="57" t="s">
        <v>178</v>
      </c>
      <c r="BO32" s="2">
        <f t="shared" si="62"/>
        <v>9.2650069327355686E-2</v>
      </c>
      <c r="BP32" s="2">
        <f>$AJ$10</f>
        <v>0.25</v>
      </c>
      <c r="BQ32" s="2">
        <f>$AJ$11</f>
        <v>6.2500000000000014E-2</v>
      </c>
      <c r="BR32" s="2">
        <f>$AJ$12</f>
        <v>2.8284271247461898</v>
      </c>
      <c r="BS32" s="2">
        <f>$AJ$13</f>
        <v>22.627416997969515</v>
      </c>
    </row>
    <row r="33" spans="49:71" x14ac:dyDescent="0.3">
      <c r="AW33" s="65" t="s">
        <v>160</v>
      </c>
      <c r="AX33" s="2">
        <f>-BA30</f>
        <v>-2</v>
      </c>
      <c r="AY33" s="2">
        <f>-BA31</f>
        <v>-2</v>
      </c>
      <c r="AZ33" s="2">
        <f>-BA32</f>
        <v>0</v>
      </c>
      <c r="BA33" s="2">
        <v>0</v>
      </c>
      <c r="BB33" s="2">
        <v>-2</v>
      </c>
      <c r="BC33" s="2">
        <v>0</v>
      </c>
      <c r="BD33" s="2">
        <f t="shared" si="59"/>
        <v>0.49999999999999994</v>
      </c>
      <c r="BE33" s="2">
        <f t="shared" si="54"/>
        <v>0.49999999999999994</v>
      </c>
      <c r="BF33" s="2">
        <f t="shared" si="55"/>
        <v>1</v>
      </c>
      <c r="BG33" s="2">
        <f t="shared" si="56"/>
        <v>1</v>
      </c>
      <c r="BH33" s="2">
        <f t="shared" si="57"/>
        <v>0.49999999999999994</v>
      </c>
      <c r="BI33" s="2">
        <f t="shared" si="58"/>
        <v>1</v>
      </c>
      <c r="BJ33" s="62">
        <f t="shared" si="60"/>
        <v>0.70710678118654746</v>
      </c>
      <c r="BK33" s="2">
        <f t="shared" si="61"/>
        <v>0.10399618659318907</v>
      </c>
      <c r="BM33" s="2" t="s">
        <v>179</v>
      </c>
      <c r="BN33" s="66" t="s">
        <v>180</v>
      </c>
      <c r="BO33" s="2">
        <f t="shared" si="62"/>
        <v>0.10399618659318907</v>
      </c>
      <c r="BP33" s="2">
        <f>$AJ$28</f>
        <v>11.313708498984759</v>
      </c>
      <c r="BQ33" s="2">
        <f>$AJ$29</f>
        <v>0.125</v>
      </c>
      <c r="BR33" s="2">
        <f>$AJ$30</f>
        <v>1.4142135623730949</v>
      </c>
      <c r="BS33" s="2">
        <f>$AJ$31</f>
        <v>0.5</v>
      </c>
    </row>
    <row r="34" spans="49:71" x14ac:dyDescent="0.3">
      <c r="AW34" s="65" t="s">
        <v>71</v>
      </c>
      <c r="AX34" s="2">
        <f>-BB30</f>
        <v>4</v>
      </c>
      <c r="AY34" s="2">
        <f>-BB31</f>
        <v>2</v>
      </c>
      <c r="AZ34" s="2">
        <f>-BB32</f>
        <v>2</v>
      </c>
      <c r="BA34" s="2">
        <f>-BB33</f>
        <v>2</v>
      </c>
      <c r="BB34" s="2">
        <v>0</v>
      </c>
      <c r="BC34" s="2">
        <v>4</v>
      </c>
      <c r="BD34" s="2">
        <f t="shared" si="59"/>
        <v>4.0000000000000009</v>
      </c>
      <c r="BE34" s="2">
        <f t="shared" si="54"/>
        <v>2</v>
      </c>
      <c r="BF34" s="2">
        <f t="shared" si="55"/>
        <v>2</v>
      </c>
      <c r="BG34" s="2">
        <f t="shared" si="56"/>
        <v>2</v>
      </c>
      <c r="BH34" s="2">
        <f t="shared" si="57"/>
        <v>1</v>
      </c>
      <c r="BI34" s="2">
        <f t="shared" si="58"/>
        <v>4.0000000000000009</v>
      </c>
      <c r="BJ34" s="62">
        <f t="shared" si="60"/>
        <v>2.244924096618746</v>
      </c>
      <c r="BK34" s="2">
        <f t="shared" si="61"/>
        <v>0.330167311997419</v>
      </c>
      <c r="BM34" s="2" t="s">
        <v>153</v>
      </c>
      <c r="BN34" s="57" t="s">
        <v>74</v>
      </c>
      <c r="BO34" s="2">
        <f t="shared" si="62"/>
        <v>0.330167311997419</v>
      </c>
      <c r="BP34" s="2">
        <f>$Y$10</f>
        <v>2.8284271247461898</v>
      </c>
      <c r="BQ34" s="2">
        <f>$Y$11</f>
        <v>0.99999999999999989</v>
      </c>
      <c r="BR34" s="2">
        <f>$Y$12</f>
        <v>7.9999999999999991</v>
      </c>
      <c r="BS34" s="2">
        <f>$Y$13</f>
        <v>4.4194173824159237E-2</v>
      </c>
    </row>
    <row r="35" spans="49:71" x14ac:dyDescent="0.3">
      <c r="AW35" s="65" t="s">
        <v>72</v>
      </c>
      <c r="AX35" s="2">
        <f>-BC30</f>
        <v>-2</v>
      </c>
      <c r="AY35" s="2">
        <f>-BC31</f>
        <v>-2</v>
      </c>
      <c r="AZ35" s="2">
        <f>-BC32</f>
        <v>0</v>
      </c>
      <c r="BA35" s="2">
        <f>-BC33</f>
        <v>0</v>
      </c>
      <c r="BB35" s="2">
        <f>-BC34</f>
        <v>-4</v>
      </c>
      <c r="BC35" s="2">
        <v>0</v>
      </c>
      <c r="BD35" s="2">
        <f t="shared" si="59"/>
        <v>0.49999999999999994</v>
      </c>
      <c r="BE35" s="2">
        <f t="shared" si="54"/>
        <v>0.49999999999999994</v>
      </c>
      <c r="BF35" s="2">
        <f t="shared" si="55"/>
        <v>1</v>
      </c>
      <c r="BG35" s="2">
        <f t="shared" si="56"/>
        <v>1</v>
      </c>
      <c r="BH35" s="2">
        <f t="shared" si="57"/>
        <v>0.24999999999999994</v>
      </c>
      <c r="BI35" s="2">
        <f t="shared" si="58"/>
        <v>1</v>
      </c>
      <c r="BJ35" s="62">
        <f t="shared" si="60"/>
        <v>0.6299605249474366</v>
      </c>
      <c r="BK35" s="2">
        <f t="shared" si="61"/>
        <v>9.2650069327355686E-2</v>
      </c>
      <c r="BM35" s="2" t="s">
        <v>153</v>
      </c>
      <c r="BN35" s="57" t="s">
        <v>75</v>
      </c>
      <c r="BO35" s="2">
        <f t="shared" si="62"/>
        <v>9.2650069327355686E-2</v>
      </c>
      <c r="BP35" s="2">
        <f>$Y$28</f>
        <v>7.9999999999999991</v>
      </c>
      <c r="BQ35" s="2">
        <f>$Y$29</f>
        <v>3.9999999999999996</v>
      </c>
      <c r="BR35" s="2">
        <f>$Y$30</f>
        <v>0.70710678118654746</v>
      </c>
      <c r="BS35" s="2">
        <f>$Y$31</f>
        <v>4.4194173824159237E-2</v>
      </c>
    </row>
    <row r="36" spans="49:71" x14ac:dyDescent="0.3">
      <c r="BK36" s="2">
        <f>SUM(BK30:BK35)</f>
        <v>1</v>
      </c>
      <c r="BM36" s="2"/>
      <c r="BN36" s="2"/>
      <c r="BO36" s="2" t="s">
        <v>233</v>
      </c>
      <c r="BP36" s="67">
        <f>($BO$30*BP30)+($BO$31*BP31)+($BO$32*BP32)+($BO$33*BP33)+($BO$34*BP34)+($BO$35*BP35)</f>
        <v>3.0955277522430338</v>
      </c>
      <c r="BQ36" s="67">
        <f t="shared" ref="BQ36:BS36" si="63">($BO$30*BQ30)+($BO$31*BQ31)+($BO$32*BQ32)+($BO$33*BQ33)+($BO$34*BQ34)+($BO$35*BQ35)</f>
        <v>0.73390865730860788</v>
      </c>
      <c r="BR36" s="67">
        <f t="shared" si="63"/>
        <v>7.2673802451933156</v>
      </c>
      <c r="BS36" s="67">
        <f t="shared" si="63"/>
        <v>4.6643676998146439</v>
      </c>
    </row>
    <row r="37" spans="49:71" x14ac:dyDescent="0.3">
      <c r="BM37" s="2"/>
      <c r="BN37" s="2"/>
      <c r="BO37" s="2" t="s">
        <v>231</v>
      </c>
      <c r="BP37" s="2">
        <f>BP36*100/SUM($BP$36:$BS$36)</f>
        <v>19.640197605756189</v>
      </c>
      <c r="BQ37" s="2">
        <f t="shared" ref="BQ37:BS37" si="64">BQ36*100/SUM($BP$36:$BS$36)</f>
        <v>4.6564308924937681</v>
      </c>
      <c r="BR37" s="2">
        <f t="shared" si="64"/>
        <v>46.109353724365981</v>
      </c>
      <c r="BS37" s="2">
        <f t="shared" si="64"/>
        <v>29.594017777384064</v>
      </c>
    </row>
    <row r="38" spans="49:71" x14ac:dyDescent="0.3">
      <c r="AW38" s="54" t="s">
        <v>239</v>
      </c>
    </row>
    <row r="39" spans="49:71" x14ac:dyDescent="0.3">
      <c r="AW39" s="65"/>
      <c r="AX39" s="65" t="s">
        <v>169</v>
      </c>
      <c r="AY39" s="65" t="s">
        <v>170</v>
      </c>
      <c r="AZ39" s="65" t="s">
        <v>159</v>
      </c>
      <c r="BA39" s="65" t="s">
        <v>160</v>
      </c>
      <c r="BB39" s="65" t="s">
        <v>71</v>
      </c>
      <c r="BC39" s="65" t="s">
        <v>72</v>
      </c>
      <c r="BD39" s="2"/>
      <c r="BE39" s="2"/>
      <c r="BF39" s="2"/>
      <c r="BG39" s="2"/>
      <c r="BH39" s="2"/>
      <c r="BI39" s="2"/>
      <c r="BJ39" s="65" t="s">
        <v>230</v>
      </c>
      <c r="BK39" s="65" t="s">
        <v>227</v>
      </c>
      <c r="BP39" t="s">
        <v>228</v>
      </c>
    </row>
    <row r="40" spans="49:71" x14ac:dyDescent="0.3">
      <c r="AW40" s="65" t="s">
        <v>169</v>
      </c>
      <c r="AX40" s="2">
        <v>0</v>
      </c>
      <c r="AY40" s="2">
        <v>-6</v>
      </c>
      <c r="AZ40" s="2">
        <v>4</v>
      </c>
      <c r="BA40" s="2">
        <v>4</v>
      </c>
      <c r="BB40" s="2">
        <v>-2</v>
      </c>
      <c r="BC40" s="2">
        <v>2</v>
      </c>
      <c r="BD40" s="2">
        <f>EXP((LN(SQRT(2)))*AX40)</f>
        <v>1</v>
      </c>
      <c r="BE40" s="2">
        <f t="shared" ref="BE40:BE45" si="65">EXP((LN(SQRT(2)))*AY40)</f>
        <v>0.12499999999999997</v>
      </c>
      <c r="BF40" s="2">
        <f t="shared" ref="BF40:BF45" si="66">EXP((LN(SQRT(2)))*AZ40)</f>
        <v>4.0000000000000009</v>
      </c>
      <c r="BG40" s="2">
        <f t="shared" ref="BG40:BG45" si="67">EXP((LN(SQRT(2)))*BA40)</f>
        <v>4.0000000000000009</v>
      </c>
      <c r="BH40" s="2">
        <f t="shared" ref="BH40:BH45" si="68">EXP((LN(SQRT(2)))*BB40)</f>
        <v>0.49999999999999994</v>
      </c>
      <c r="BI40" s="2">
        <f t="shared" ref="BI40:BI45" si="69">EXP((LN(SQRT(2)))*BC40)</f>
        <v>2</v>
      </c>
      <c r="BJ40" s="62">
        <f>GEOMEAN(BD40:BI40)</f>
        <v>1.122462048309373</v>
      </c>
      <c r="BK40" s="2">
        <f>BJ40/SUM($BJ$40:$BJ$45)</f>
        <v>0.15006547224514444</v>
      </c>
      <c r="BM40" s="2" t="s">
        <v>70</v>
      </c>
      <c r="BN40" s="2"/>
      <c r="BO40" s="2" t="s">
        <v>227</v>
      </c>
      <c r="BP40" s="2" t="s">
        <v>27</v>
      </c>
      <c r="BQ40" s="2" t="s">
        <v>30</v>
      </c>
      <c r="BR40" s="2" t="s">
        <v>35</v>
      </c>
      <c r="BS40" s="2" t="s">
        <v>36</v>
      </c>
    </row>
    <row r="41" spans="49:71" x14ac:dyDescent="0.3">
      <c r="AW41" s="65" t="s">
        <v>170</v>
      </c>
      <c r="AX41" s="2">
        <f>-AY40</f>
        <v>6</v>
      </c>
      <c r="AY41" s="2">
        <v>0</v>
      </c>
      <c r="AZ41" s="2">
        <v>6</v>
      </c>
      <c r="BA41" s="2">
        <v>4</v>
      </c>
      <c r="BB41" s="2">
        <v>2</v>
      </c>
      <c r="BC41" s="2">
        <v>2</v>
      </c>
      <c r="BD41" s="2">
        <f t="shared" ref="BD41:BD45" si="70">EXP((LN(SQRT(2)))*AX41)</f>
        <v>8.0000000000000018</v>
      </c>
      <c r="BE41" s="2">
        <f t="shared" si="65"/>
        <v>1</v>
      </c>
      <c r="BF41" s="2">
        <f t="shared" si="66"/>
        <v>8.0000000000000018</v>
      </c>
      <c r="BG41" s="2">
        <f t="shared" si="67"/>
        <v>4.0000000000000009</v>
      </c>
      <c r="BH41" s="2">
        <f t="shared" si="68"/>
        <v>2</v>
      </c>
      <c r="BI41" s="2">
        <f t="shared" si="69"/>
        <v>2</v>
      </c>
      <c r="BJ41" s="62">
        <f t="shared" ref="BJ41:BJ45" si="71">GEOMEAN(BD41:BI41)</f>
        <v>3.1748021039363992</v>
      </c>
      <c r="BK41" s="2">
        <f t="shared" ref="BK41:BK45" si="72">BJ41/SUM($BJ$40:$BJ$45)</f>
        <v>0.42444925218601309</v>
      </c>
      <c r="BM41" s="2" t="s">
        <v>205</v>
      </c>
      <c r="BN41" s="57" t="s">
        <v>206</v>
      </c>
      <c r="BO41" s="2">
        <f>BK40</f>
        <v>0.15006547224514444</v>
      </c>
      <c r="BP41" s="2">
        <f>$AU$10</f>
        <v>0.70710678118654746</v>
      </c>
      <c r="BQ41" s="2">
        <f>$AU$11</f>
        <v>6.2500000000000014E-2</v>
      </c>
      <c r="BR41" s="2">
        <f>$AU$12</f>
        <v>2.8284271247461898</v>
      </c>
      <c r="BS41" s="2">
        <f>$AU$13</f>
        <v>7.9999999999999991</v>
      </c>
    </row>
    <row r="42" spans="49:71" x14ac:dyDescent="0.3">
      <c r="AW42" s="65" t="s">
        <v>159</v>
      </c>
      <c r="AX42" s="2">
        <f>-AZ40</f>
        <v>-4</v>
      </c>
      <c r="AY42" s="2">
        <f>-AZ41</f>
        <v>-6</v>
      </c>
      <c r="AZ42" s="2">
        <v>0</v>
      </c>
      <c r="BA42" s="2">
        <v>0</v>
      </c>
      <c r="BB42" s="2">
        <v>-2</v>
      </c>
      <c r="BC42" s="2">
        <v>0</v>
      </c>
      <c r="BD42" s="2">
        <f t="shared" si="70"/>
        <v>0.24999999999999994</v>
      </c>
      <c r="BE42" s="2">
        <f t="shared" si="65"/>
        <v>0.12499999999999997</v>
      </c>
      <c r="BF42" s="2">
        <f t="shared" si="66"/>
        <v>1</v>
      </c>
      <c r="BG42" s="2">
        <f t="shared" si="67"/>
        <v>1</v>
      </c>
      <c r="BH42" s="2">
        <f t="shared" si="68"/>
        <v>0.49999999999999994</v>
      </c>
      <c r="BI42" s="2">
        <f t="shared" si="69"/>
        <v>1</v>
      </c>
      <c r="BJ42" s="62">
        <f t="shared" si="71"/>
        <v>0.49999999999999994</v>
      </c>
      <c r="BK42" s="2">
        <f t="shared" si="72"/>
        <v>6.6846568430161915E-2</v>
      </c>
      <c r="BM42" s="2" t="s">
        <v>205</v>
      </c>
      <c r="BN42" s="57" t="s">
        <v>207</v>
      </c>
      <c r="BO42" s="2">
        <f t="shared" ref="BO42:BO46" si="73">BK41</f>
        <v>0.42444925218601309</v>
      </c>
      <c r="BP42" s="2">
        <f>$AU$28</f>
        <v>0.5</v>
      </c>
      <c r="BQ42" s="2">
        <f>$AU$29</f>
        <v>2.2097086912079615E-2</v>
      </c>
      <c r="BR42" s="2">
        <f>$AU$30</f>
        <v>15.999999999999998</v>
      </c>
      <c r="BS42" s="2">
        <f>$AU$31</f>
        <v>5.6568542494923797</v>
      </c>
    </row>
    <row r="43" spans="49:71" x14ac:dyDescent="0.3">
      <c r="AW43" s="65" t="s">
        <v>160</v>
      </c>
      <c r="AX43" s="2">
        <f>-BA40</f>
        <v>-4</v>
      </c>
      <c r="AY43" s="2">
        <f>-BA41</f>
        <v>-4</v>
      </c>
      <c r="AZ43" s="2">
        <f>-BA42</f>
        <v>0</v>
      </c>
      <c r="BA43" s="2">
        <v>0</v>
      </c>
      <c r="BB43" s="2">
        <v>-2</v>
      </c>
      <c r="BC43" s="2">
        <v>0</v>
      </c>
      <c r="BD43" s="2">
        <f t="shared" si="70"/>
        <v>0.24999999999999994</v>
      </c>
      <c r="BE43" s="2">
        <f t="shared" si="65"/>
        <v>0.24999999999999994</v>
      </c>
      <c r="BF43" s="2">
        <f t="shared" si="66"/>
        <v>1</v>
      </c>
      <c r="BG43" s="2">
        <f t="shared" si="67"/>
        <v>1</v>
      </c>
      <c r="BH43" s="2">
        <f t="shared" si="68"/>
        <v>0.49999999999999994</v>
      </c>
      <c r="BI43" s="2">
        <f t="shared" si="69"/>
        <v>1</v>
      </c>
      <c r="BJ43" s="62">
        <f t="shared" si="71"/>
        <v>0.5612310241546864</v>
      </c>
      <c r="BK43" s="2">
        <f t="shared" si="72"/>
        <v>7.5032736122572205E-2</v>
      </c>
      <c r="BM43" s="2" t="s">
        <v>179</v>
      </c>
      <c r="BN43" s="57" t="s">
        <v>178</v>
      </c>
      <c r="BO43" s="2">
        <f t="shared" si="73"/>
        <v>6.6846568430161915E-2</v>
      </c>
      <c r="BP43" s="2">
        <f>$AJ$10</f>
        <v>0.25</v>
      </c>
      <c r="BQ43" s="2">
        <f>$AJ$11</f>
        <v>6.2500000000000014E-2</v>
      </c>
      <c r="BR43" s="2">
        <f>$AJ$12</f>
        <v>2.8284271247461898</v>
      </c>
      <c r="BS43" s="2">
        <f>$AJ$13</f>
        <v>22.627416997969515</v>
      </c>
    </row>
    <row r="44" spans="49:71" x14ac:dyDescent="0.3">
      <c r="AW44" s="65" t="s">
        <v>71</v>
      </c>
      <c r="AX44" s="2">
        <f>-BB40</f>
        <v>2</v>
      </c>
      <c r="AY44" s="2">
        <f>-BB41</f>
        <v>-2</v>
      </c>
      <c r="AZ44" s="2">
        <f>-BB42</f>
        <v>2</v>
      </c>
      <c r="BA44" s="2">
        <f>-BB43</f>
        <v>2</v>
      </c>
      <c r="BB44" s="2">
        <v>0</v>
      </c>
      <c r="BC44" s="2">
        <v>2</v>
      </c>
      <c r="BD44" s="2">
        <f t="shared" si="70"/>
        <v>2</v>
      </c>
      <c r="BE44" s="2">
        <f t="shared" si="65"/>
        <v>0.49999999999999994</v>
      </c>
      <c r="BF44" s="2">
        <f t="shared" si="66"/>
        <v>2</v>
      </c>
      <c r="BG44" s="2">
        <f t="shared" si="67"/>
        <v>2</v>
      </c>
      <c r="BH44" s="2">
        <f t="shared" si="68"/>
        <v>1</v>
      </c>
      <c r="BI44" s="2">
        <f t="shared" si="69"/>
        <v>2</v>
      </c>
      <c r="BJ44" s="62">
        <f t="shared" si="71"/>
        <v>1.4142135623730949</v>
      </c>
      <c r="BK44" s="2">
        <f t="shared" si="72"/>
        <v>0.18907064734407231</v>
      </c>
      <c r="BM44" s="2" t="s">
        <v>179</v>
      </c>
      <c r="BN44" s="66" t="s">
        <v>180</v>
      </c>
      <c r="BO44" s="2">
        <f t="shared" si="73"/>
        <v>7.5032736122572205E-2</v>
      </c>
      <c r="BP44" s="2">
        <f>$AJ$28</f>
        <v>11.313708498984759</v>
      </c>
      <c r="BQ44" s="2">
        <f>$AJ$29</f>
        <v>0.125</v>
      </c>
      <c r="BR44" s="2">
        <f>$AJ$30</f>
        <v>1.4142135623730949</v>
      </c>
      <c r="BS44" s="2">
        <f>$AJ$31</f>
        <v>0.5</v>
      </c>
    </row>
    <row r="45" spans="49:71" x14ac:dyDescent="0.3">
      <c r="AW45" s="65" t="s">
        <v>72</v>
      </c>
      <c r="AX45" s="2">
        <f>-BC40</f>
        <v>-2</v>
      </c>
      <c r="AY45" s="2">
        <f>-BC41</f>
        <v>-2</v>
      </c>
      <c r="AZ45" s="2">
        <f>-BC42</f>
        <v>0</v>
      </c>
      <c r="BA45" s="2">
        <f>-BC43</f>
        <v>0</v>
      </c>
      <c r="BB45" s="2">
        <f>-BC44</f>
        <v>-2</v>
      </c>
      <c r="BC45" s="2">
        <v>0</v>
      </c>
      <c r="BD45" s="2">
        <f t="shared" si="70"/>
        <v>0.49999999999999994</v>
      </c>
      <c r="BE45" s="2">
        <f t="shared" si="65"/>
        <v>0.49999999999999994</v>
      </c>
      <c r="BF45" s="2">
        <f t="shared" si="66"/>
        <v>1</v>
      </c>
      <c r="BG45" s="2">
        <f t="shared" si="67"/>
        <v>1</v>
      </c>
      <c r="BH45" s="2">
        <f t="shared" si="68"/>
        <v>0.49999999999999994</v>
      </c>
      <c r="BI45" s="2">
        <f t="shared" si="69"/>
        <v>1</v>
      </c>
      <c r="BJ45" s="62">
        <f t="shared" si="71"/>
        <v>0.70710678118654746</v>
      </c>
      <c r="BK45" s="2">
        <f t="shared" si="72"/>
        <v>9.4535323672036153E-2</v>
      </c>
      <c r="BM45" s="2" t="s">
        <v>153</v>
      </c>
      <c r="BN45" s="57" t="s">
        <v>74</v>
      </c>
      <c r="BO45" s="2">
        <f t="shared" si="73"/>
        <v>0.18907064734407231</v>
      </c>
      <c r="BP45" s="2">
        <f>$Y$10</f>
        <v>2.8284271247461898</v>
      </c>
      <c r="BQ45" s="2">
        <f>$Y$11</f>
        <v>0.99999999999999989</v>
      </c>
      <c r="BR45" s="2">
        <f>$Y$12</f>
        <v>7.9999999999999991</v>
      </c>
      <c r="BS45" s="2">
        <f>$Y$13</f>
        <v>4.4194173824159237E-2</v>
      </c>
    </row>
    <row r="46" spans="49:71" x14ac:dyDescent="0.3">
      <c r="BK46" s="2">
        <f>SUM(BK40:BK45)</f>
        <v>1</v>
      </c>
      <c r="BM46" s="2" t="s">
        <v>153</v>
      </c>
      <c r="BN46" s="57" t="s">
        <v>75</v>
      </c>
      <c r="BO46" s="2">
        <f t="shared" si="73"/>
        <v>9.4535323672036153E-2</v>
      </c>
      <c r="BP46" s="2">
        <f>$Y$28</f>
        <v>7.9999999999999991</v>
      </c>
      <c r="BQ46" s="2">
        <f>$Y$29</f>
        <v>3.9999999999999996</v>
      </c>
      <c r="BR46" s="2">
        <f>$Y$30</f>
        <v>0.70710678118654746</v>
      </c>
      <c r="BS46" s="2">
        <f>$Y$31</f>
        <v>4.4194173824159237E-2</v>
      </c>
    </row>
    <row r="47" spans="49:71" x14ac:dyDescent="0.3">
      <c r="BM47" s="2"/>
      <c r="BN47" s="2"/>
      <c r="BO47" s="2" t="s">
        <v>233</v>
      </c>
      <c r="BP47" s="67">
        <f>($BO$41*BP41)+($BO$42*BP42)+($BO$43*BP43)+($BO$44*BP44)+($BO$45*BP45)+($BO$46*BP46)</f>
        <v>2.4750022224366606</v>
      </c>
      <c r="BQ47" s="67">
        <f t="shared" ref="BQ47:BS47" si="74">($BO$41*BQ41)+($BO$42*BQ42)+($BO$43*BQ43)+($BO$44*BQ44)+($BO$45*BQ45)+($BO$46*BQ46)</f>
        <v>0.59952712860506652</v>
      </c>
      <c r="BR47" s="67">
        <f t="shared" si="74"/>
        <v>9.0902319947355377</v>
      </c>
      <c r="BS47" s="67">
        <f t="shared" si="74"/>
        <v>5.1641866122779865</v>
      </c>
    </row>
    <row r="48" spans="49:71" x14ac:dyDescent="0.3">
      <c r="BM48" s="2"/>
      <c r="BN48" s="2"/>
      <c r="BO48" s="2" t="s">
        <v>231</v>
      </c>
      <c r="BP48" s="2">
        <f>BP47*100/SUM($BP$47:$BS$47)</f>
        <v>14.282472475694471</v>
      </c>
      <c r="BQ48" s="2">
        <f t="shared" ref="BQ48:BS48" si="75">BQ47*100/SUM($BP$47:$BS$47)</f>
        <v>3.4596856661825228</v>
      </c>
      <c r="BR48" s="2">
        <f t="shared" si="75"/>
        <v>52.456917850630397</v>
      </c>
      <c r="BS48" s="2">
        <f t="shared" si="75"/>
        <v>29.800924007492604</v>
      </c>
    </row>
    <row r="50" spans="58:62" x14ac:dyDescent="0.3">
      <c r="BG50" s="72" t="s">
        <v>227</v>
      </c>
      <c r="BH50" s="72"/>
      <c r="BI50" s="72"/>
      <c r="BJ50" s="72"/>
    </row>
    <row r="51" spans="58:62" x14ac:dyDescent="0.3">
      <c r="BF51" s="65" t="s">
        <v>232</v>
      </c>
      <c r="BG51" s="65" t="s">
        <v>234</v>
      </c>
      <c r="BH51" s="65" t="s">
        <v>238</v>
      </c>
      <c r="BI51" s="65" t="s">
        <v>236</v>
      </c>
      <c r="BJ51" s="65" t="s">
        <v>239</v>
      </c>
    </row>
    <row r="52" spans="58:62" x14ac:dyDescent="0.3">
      <c r="BF52" s="65" t="s">
        <v>169</v>
      </c>
      <c r="BG52" s="2">
        <f>BK10</f>
        <v>0.45886376703850168</v>
      </c>
      <c r="BH52" s="2">
        <f>BK20</f>
        <v>8.0768121381165528E-2</v>
      </c>
      <c r="BI52" s="2">
        <f>BK30</f>
        <v>0.14707281751517104</v>
      </c>
      <c r="BJ52" s="2">
        <f>BK40</f>
        <v>0.15006547224514444</v>
      </c>
    </row>
    <row r="53" spans="58:62" x14ac:dyDescent="0.3">
      <c r="BF53" s="65" t="s">
        <v>170</v>
      </c>
      <c r="BG53" s="2">
        <f t="shared" ref="BG53:BG57" si="76">BK11</f>
        <v>0.25752858192249573</v>
      </c>
      <c r="BH53" s="2">
        <f t="shared" ref="BH53:BH57" si="77">BK21</f>
        <v>5.088072814429731E-2</v>
      </c>
      <c r="BI53" s="2">
        <f t="shared" ref="BI53:BI57" si="78">BK31</f>
        <v>0.23346354523950952</v>
      </c>
      <c r="BJ53" s="2">
        <f t="shared" ref="BJ53:BJ57" si="79">BK41</f>
        <v>0.42444925218601309</v>
      </c>
    </row>
    <row r="54" spans="58:62" x14ac:dyDescent="0.3">
      <c r="BF54" s="65" t="s">
        <v>159</v>
      </c>
      <c r="BG54" s="2">
        <f t="shared" si="76"/>
        <v>0.11471594175962541</v>
      </c>
      <c r="BH54" s="2">
        <f t="shared" si="77"/>
        <v>0.40704582515437854</v>
      </c>
      <c r="BI54" s="2">
        <f t="shared" si="78"/>
        <v>9.2650069327355686E-2</v>
      </c>
      <c r="BJ54" s="2">
        <f t="shared" si="79"/>
        <v>6.6846568430161915E-2</v>
      </c>
    </row>
    <row r="55" spans="58:62" x14ac:dyDescent="0.3">
      <c r="BF55" s="65" t="s">
        <v>160</v>
      </c>
      <c r="BG55" s="2">
        <f t="shared" si="76"/>
        <v>7.2266514890733186E-2</v>
      </c>
      <c r="BH55" s="2">
        <f t="shared" si="77"/>
        <v>0.25642280169191478</v>
      </c>
      <c r="BI55" s="2">
        <f t="shared" si="78"/>
        <v>0.10399618659318907</v>
      </c>
      <c r="BJ55" s="2">
        <f t="shared" si="79"/>
        <v>7.5032736122572205E-2</v>
      </c>
    </row>
    <row r="56" spans="58:62" x14ac:dyDescent="0.3">
      <c r="BF56" s="65" t="s">
        <v>71</v>
      </c>
      <c r="BG56" s="2">
        <f t="shared" si="76"/>
        <v>5.1100142731956039E-2</v>
      </c>
      <c r="BH56" s="2">
        <f t="shared" si="77"/>
        <v>9.0659150963603122E-2</v>
      </c>
      <c r="BI56" s="2">
        <f t="shared" si="78"/>
        <v>0.330167311997419</v>
      </c>
      <c r="BJ56" s="2">
        <f t="shared" si="79"/>
        <v>0.18907064734407231</v>
      </c>
    </row>
    <row r="57" spans="58:62" x14ac:dyDescent="0.3">
      <c r="BF57" s="65" t="s">
        <v>72</v>
      </c>
      <c r="BG57" s="2">
        <f t="shared" si="76"/>
        <v>4.5525051656688013E-2</v>
      </c>
      <c r="BH57" s="2">
        <f t="shared" si="77"/>
        <v>0.11422337266464065</v>
      </c>
      <c r="BI57" s="2">
        <f t="shared" si="78"/>
        <v>9.2650069327355686E-2</v>
      </c>
      <c r="BJ57" s="2">
        <f t="shared" si="79"/>
        <v>9.4535323672036153E-2</v>
      </c>
    </row>
    <row r="58" spans="58:62" x14ac:dyDescent="0.3">
      <c r="BG58" s="72" t="s">
        <v>240</v>
      </c>
      <c r="BH58" s="72"/>
      <c r="BI58" s="72"/>
      <c r="BJ58" s="72"/>
    </row>
    <row r="59" spans="58:62" x14ac:dyDescent="0.3">
      <c r="BF59" s="65" t="s">
        <v>27</v>
      </c>
      <c r="BG59" s="2">
        <f>BP15</f>
        <v>11.202223875962595</v>
      </c>
      <c r="BH59" s="2">
        <f>BP26</f>
        <v>22.98968376291776</v>
      </c>
      <c r="BI59" s="2">
        <f>BP37</f>
        <v>19.640197605756189</v>
      </c>
      <c r="BJ59" s="2">
        <f>BP48</f>
        <v>14.282472475694471</v>
      </c>
    </row>
    <row r="60" spans="58:62" x14ac:dyDescent="0.3">
      <c r="BF60" s="65" t="s">
        <v>30</v>
      </c>
      <c r="BG60" s="2">
        <f>BQ15</f>
        <v>1.7579971369325122</v>
      </c>
      <c r="BH60" s="2">
        <f>BQ26</f>
        <v>3.3019220380131711</v>
      </c>
      <c r="BI60" s="2">
        <f>BQ37</f>
        <v>4.6564308924937681</v>
      </c>
      <c r="BJ60" s="2">
        <f>BQ48</f>
        <v>3.4596856661825228</v>
      </c>
    </row>
    <row r="61" spans="58:62" x14ac:dyDescent="0.3">
      <c r="BF61" s="65" t="s">
        <v>35</v>
      </c>
      <c r="BG61" s="2">
        <f>BR15</f>
        <v>38.9421497409758</v>
      </c>
      <c r="BH61" s="2">
        <f>BR26</f>
        <v>18.164978295530723</v>
      </c>
      <c r="BI61" s="2">
        <f>BR37</f>
        <v>46.109353724365981</v>
      </c>
      <c r="BJ61" s="2">
        <f>BR48</f>
        <v>52.456917850630397</v>
      </c>
    </row>
    <row r="62" spans="58:62" x14ac:dyDescent="0.3">
      <c r="BF62" s="65" t="s">
        <v>36</v>
      </c>
      <c r="BG62" s="2">
        <f>BS15</f>
        <v>48.097629246129081</v>
      </c>
      <c r="BH62" s="2">
        <f>BS26</f>
        <v>55.543415903538339</v>
      </c>
      <c r="BI62" s="2">
        <f>BS37</f>
        <v>29.594017777384064</v>
      </c>
      <c r="BJ62" s="2">
        <f>BS48</f>
        <v>29.800924007492604</v>
      </c>
    </row>
  </sheetData>
  <mergeCells count="2">
    <mergeCell ref="BG50:BJ50"/>
    <mergeCell ref="BG58:BJ5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75FA0-AF44-425F-8BF3-22817B804008}">
  <sheetPr>
    <tabColor theme="1"/>
  </sheetPr>
  <dimension ref="B2:BC65"/>
  <sheetViews>
    <sheetView tabSelected="1" topLeftCell="A28" zoomScale="55" zoomScaleNormal="55" workbookViewId="0">
      <selection activeCell="AK37" sqref="AK37"/>
    </sheetView>
  </sheetViews>
  <sheetFormatPr defaultRowHeight="14.4" x14ac:dyDescent="0.3"/>
  <cols>
    <col min="44" max="44" width="10.44140625" bestFit="1" customWidth="1"/>
    <col min="51" max="51" width="14.6640625" bestFit="1" customWidth="1"/>
    <col min="52" max="52" width="10.33203125" customWidth="1"/>
    <col min="54" max="54" width="10.77734375" bestFit="1" customWidth="1"/>
    <col min="55" max="55" width="11.6640625" bestFit="1" customWidth="1"/>
  </cols>
  <sheetData>
    <row r="2" spans="2:55" x14ac:dyDescent="0.3">
      <c r="I2" t="s">
        <v>241</v>
      </c>
      <c r="P2" t="s">
        <v>243</v>
      </c>
      <c r="W2" t="s">
        <v>244</v>
      </c>
      <c r="AD2" t="s">
        <v>245</v>
      </c>
    </row>
    <row r="4" spans="2:55" x14ac:dyDescent="0.3">
      <c r="B4" s="44" t="s">
        <v>169</v>
      </c>
      <c r="C4" s="64"/>
      <c r="D4" s="64" t="s">
        <v>27</v>
      </c>
      <c r="E4" s="64" t="s">
        <v>30</v>
      </c>
      <c r="F4" s="64" t="s">
        <v>35</v>
      </c>
      <c r="G4" s="64" t="s">
        <v>36</v>
      </c>
      <c r="J4" t="s">
        <v>27</v>
      </c>
      <c r="K4" t="s">
        <v>30</v>
      </c>
      <c r="L4" t="s">
        <v>35</v>
      </c>
      <c r="M4" t="s">
        <v>36</v>
      </c>
      <c r="N4" t="s">
        <v>242</v>
      </c>
      <c r="Q4" t="s">
        <v>27</v>
      </c>
      <c r="R4" t="s">
        <v>30</v>
      </c>
      <c r="S4" t="s">
        <v>35</v>
      </c>
      <c r="T4" t="s">
        <v>36</v>
      </c>
      <c r="U4" t="s">
        <v>242</v>
      </c>
      <c r="X4" t="s">
        <v>27</v>
      </c>
      <c r="Y4" t="s">
        <v>30</v>
      </c>
      <c r="Z4" t="s">
        <v>35</v>
      </c>
      <c r="AA4" t="s">
        <v>36</v>
      </c>
      <c r="AB4" t="s">
        <v>242</v>
      </c>
      <c r="AE4" t="s">
        <v>27</v>
      </c>
      <c r="AF4" t="s">
        <v>30</v>
      </c>
      <c r="AG4" t="s">
        <v>35</v>
      </c>
      <c r="AH4" t="s">
        <v>36</v>
      </c>
      <c r="AI4" t="s">
        <v>242</v>
      </c>
      <c r="AL4" s="65"/>
      <c r="AM4" s="65" t="s">
        <v>169</v>
      </c>
      <c r="AN4" s="65" t="s">
        <v>170</v>
      </c>
      <c r="AO4" s="65" t="s">
        <v>159</v>
      </c>
      <c r="AP4" s="65" t="s">
        <v>160</v>
      </c>
      <c r="AQ4" s="65" t="s">
        <v>71</v>
      </c>
      <c r="AR4" s="65" t="s">
        <v>72</v>
      </c>
      <c r="AS4" s="2"/>
      <c r="AT4" s="2"/>
      <c r="AU4" s="2"/>
      <c r="AV4" s="2"/>
      <c r="AW4" s="2"/>
      <c r="AX4" s="2"/>
      <c r="AY4" s="65" t="s">
        <v>230</v>
      </c>
      <c r="AZ4" s="69" t="s">
        <v>0</v>
      </c>
      <c r="BB4" t="s">
        <v>244</v>
      </c>
      <c r="BC4" t="s">
        <v>247</v>
      </c>
    </row>
    <row r="5" spans="2:55" x14ac:dyDescent="0.3">
      <c r="C5" s="64" t="s">
        <v>27</v>
      </c>
      <c r="D5" s="61">
        <f>'MCDA - Economic'!W43</f>
        <v>0</v>
      </c>
      <c r="E5" s="61">
        <f>'MCDA - Economic'!X43</f>
        <v>4</v>
      </c>
      <c r="F5" s="61">
        <f>'MCDA - Economic'!Y43</f>
        <v>-2</v>
      </c>
      <c r="G5" s="61">
        <f>'MCDA - Economic'!Z43</f>
        <v>-4</v>
      </c>
      <c r="I5" t="s">
        <v>27</v>
      </c>
      <c r="J5">
        <f>EXP((LN(1)*+D5))</f>
        <v>1</v>
      </c>
      <c r="K5">
        <f t="shared" ref="K5:M5" si="0">EXP((LN(1)*+E5))</f>
        <v>1</v>
      </c>
      <c r="L5">
        <f t="shared" si="0"/>
        <v>1</v>
      </c>
      <c r="M5">
        <f t="shared" si="0"/>
        <v>1</v>
      </c>
      <c r="N5" s="68">
        <f>GEOMEAN(J5:M5)</f>
        <v>1</v>
      </c>
      <c r="P5" t="s">
        <v>27</v>
      </c>
      <c r="Q5">
        <f>EXP((LN(1.7)*+D5))</f>
        <v>1</v>
      </c>
      <c r="R5">
        <f t="shared" ref="R5:T5" si="1">EXP((LN(1.7)*+E5))</f>
        <v>8.3521000000000001</v>
      </c>
      <c r="S5">
        <f t="shared" si="1"/>
        <v>0.34602076124567477</v>
      </c>
      <c r="T5">
        <f t="shared" si="1"/>
        <v>0.11973036721303625</v>
      </c>
      <c r="U5" s="68">
        <f>GEOMEAN(Q5:T5)</f>
        <v>0.76696498884737041</v>
      </c>
      <c r="W5" t="s">
        <v>27</v>
      </c>
      <c r="X5">
        <f>EXP((LN(2)*+D5))</f>
        <v>1</v>
      </c>
      <c r="Y5">
        <f t="shared" ref="Y5:AA5" si="2">EXP((LN(2)*+E5))</f>
        <v>15.999999999999998</v>
      </c>
      <c r="Z5">
        <f t="shared" si="2"/>
        <v>0.25</v>
      </c>
      <c r="AA5">
        <f t="shared" si="2"/>
        <v>6.25E-2</v>
      </c>
      <c r="AB5" s="68">
        <f>GEOMEAN(X5:AA5)</f>
        <v>0.70710678118654746</v>
      </c>
      <c r="AD5" t="s">
        <v>27</v>
      </c>
      <c r="AE5">
        <f>EXP((LN(2.7)*+D5))</f>
        <v>1</v>
      </c>
      <c r="AF5">
        <f t="shared" ref="AF5:AH5" si="3">EXP((LN(2.7)*+E5))</f>
        <v>53.144100000000009</v>
      </c>
      <c r="AG5">
        <f t="shared" si="3"/>
        <v>0.1371742112482853</v>
      </c>
      <c r="AH5">
        <f t="shared" si="3"/>
        <v>1.8816764231589202E-2</v>
      </c>
      <c r="AI5" s="68">
        <f>GEOMEAN(AE5:AH5)</f>
        <v>0.6085806194501846</v>
      </c>
      <c r="AL5" s="65" t="s">
        <v>169</v>
      </c>
      <c r="AM5" s="2">
        <f>'MCDA - REMBRANDT'!AX10</f>
        <v>0</v>
      </c>
      <c r="AN5" s="2">
        <f>'MCDA - REMBRANDT'!AY10</f>
        <v>2</v>
      </c>
      <c r="AO5" s="2">
        <f>'MCDA - REMBRANDT'!AZ10</f>
        <v>4</v>
      </c>
      <c r="AP5" s="2">
        <f>'MCDA - REMBRANDT'!BA10</f>
        <v>6</v>
      </c>
      <c r="AQ5" s="2">
        <f>'MCDA - REMBRANDT'!BB10</f>
        <v>6</v>
      </c>
      <c r="AR5" s="2">
        <f>'MCDA - REMBRANDT'!BC10</f>
        <v>6</v>
      </c>
      <c r="AS5" s="2">
        <f>EXP((LN(SQRT(2)))*AM5)</f>
        <v>1</v>
      </c>
      <c r="AT5" s="2">
        <f t="shared" ref="AT5:AX10" si="4">EXP((LN(SQRT(2)))*AN5)</f>
        <v>2</v>
      </c>
      <c r="AU5" s="2">
        <f t="shared" si="4"/>
        <v>4.0000000000000009</v>
      </c>
      <c r="AV5" s="2">
        <f t="shared" si="4"/>
        <v>8.0000000000000018</v>
      </c>
      <c r="AW5" s="2">
        <f t="shared" si="4"/>
        <v>8.0000000000000018</v>
      </c>
      <c r="AX5" s="2">
        <f t="shared" si="4"/>
        <v>8.0000000000000018</v>
      </c>
      <c r="AY5" s="62">
        <f>GEOMEAN(AS5:AX5)</f>
        <v>4.0000000000000009</v>
      </c>
      <c r="AZ5" s="2">
        <f>AY5/SUM($AY$5:$AY$10)</f>
        <v>0.45886376703850168</v>
      </c>
      <c r="BB5" t="s">
        <v>27</v>
      </c>
      <c r="BC5">
        <f>'MCDA - REMBRANDT'!AU10^'REMBRANDT Sensitivity Analysis'!$AZ$5*'MCDA - REMBRANDT'!AU28^'REMBRANDT Sensitivity Analysis'!$AZ$6*'MCDA - REMBRANDT'!AJ10^'REMBRANDT Sensitivity Analysis'!$AZ$7*'MCDA - REMBRANDT'!AJ28^'REMBRANDT Sensitivity Analysis'!$AZ$8*'MCDA - REMBRANDT'!Y10^'REMBRANDT Sensitivity Analysis'!$AZ$9*'MCDA - REMBRANDT'!Y28^'REMBRANDT Sensitivity Analysis'!$AZ$10</f>
        <v>0.84075993230669888</v>
      </c>
    </row>
    <row r="6" spans="2:55" x14ac:dyDescent="0.3">
      <c r="C6" s="64" t="s">
        <v>30</v>
      </c>
      <c r="D6" s="61">
        <f>'MCDA - Economic'!W44</f>
        <v>-4</v>
      </c>
      <c r="E6" s="61">
        <f>'MCDA - Economic'!X44</f>
        <v>0</v>
      </c>
      <c r="F6" s="61">
        <f>'MCDA - Economic'!Y44</f>
        <v>-6</v>
      </c>
      <c r="G6" s="61">
        <f>'MCDA - Economic'!Z44</f>
        <v>-6</v>
      </c>
      <c r="I6" t="s">
        <v>30</v>
      </c>
      <c r="J6">
        <f t="shared" ref="J6:J8" si="5">EXP((LN(1)*+D6))</f>
        <v>1</v>
      </c>
      <c r="K6">
        <f t="shared" ref="K6:K8" si="6">EXP((LN(1)*+E6))</f>
        <v>1</v>
      </c>
      <c r="L6">
        <f t="shared" ref="L6:L8" si="7">EXP((LN(1)*+F6))</f>
        <v>1</v>
      </c>
      <c r="M6">
        <f t="shared" ref="M6:M8" si="8">EXP((LN(1)*+G6))</f>
        <v>1</v>
      </c>
      <c r="N6" s="68">
        <f t="shared" ref="N6:N38" si="9">GEOMEAN(J6:M6)</f>
        <v>1</v>
      </c>
      <c r="P6" t="s">
        <v>30</v>
      </c>
      <c r="Q6">
        <f t="shared" ref="Q6:Q8" si="10">EXP((LN(1.7)*+D6))</f>
        <v>0.11973036721303625</v>
      </c>
      <c r="R6">
        <f t="shared" ref="R6:R8" si="11">EXP((LN(1.7)*+E6))</f>
        <v>1</v>
      </c>
      <c r="S6">
        <f t="shared" ref="S6:S8" si="12">EXP((LN(1.7)*+F6))</f>
        <v>4.1429192807278969E-2</v>
      </c>
      <c r="T6">
        <f t="shared" ref="T6:T8" si="13">EXP((LN(1.7)*+G6))</f>
        <v>4.1429192807278969E-2</v>
      </c>
      <c r="U6" s="68">
        <f t="shared" ref="U6:U8" si="14">GEOMEAN(Q6:T6)</f>
        <v>0.11973036721303623</v>
      </c>
      <c r="W6" t="s">
        <v>30</v>
      </c>
      <c r="X6">
        <f t="shared" ref="X6:X8" si="15">EXP((LN(2)*+D6))</f>
        <v>6.25E-2</v>
      </c>
      <c r="Y6">
        <f t="shared" ref="Y6:Y8" si="16">EXP((LN(2)*+E6))</f>
        <v>1</v>
      </c>
      <c r="Z6">
        <f t="shared" ref="Z6:Z8" si="17">EXP((LN(2)*+F6))</f>
        <v>1.5625000000000007E-2</v>
      </c>
      <c r="AA6">
        <f t="shared" ref="AA6:AA8" si="18">EXP((LN(2)*+G6))</f>
        <v>1.5625000000000007E-2</v>
      </c>
      <c r="AB6" s="68">
        <f t="shared" ref="AB6:AB8" si="19">GEOMEAN(X6:AA6)</f>
        <v>6.2500000000000014E-2</v>
      </c>
      <c r="AD6" t="s">
        <v>30</v>
      </c>
      <c r="AE6">
        <f t="shared" ref="AE6:AE8" si="20">EXP((LN(2.7)*+D6))</f>
        <v>1.8816764231589202E-2</v>
      </c>
      <c r="AF6">
        <f t="shared" ref="AF6:AF8" si="21">EXP((LN(2.7)*+E6))</f>
        <v>1</v>
      </c>
      <c r="AG6">
        <f t="shared" ref="AG6:AG8" si="22">EXP((LN(2.7)*+F6))</f>
        <v>2.5811747917131953E-3</v>
      </c>
      <c r="AH6">
        <f t="shared" ref="AH6:AH8" si="23">EXP((LN(2.7)*+G6))</f>
        <v>2.5811747917131953E-3</v>
      </c>
      <c r="AI6" s="68">
        <f t="shared" ref="AI6:AI8" si="24">GEOMEAN(AE6:AH6)</f>
        <v>1.8816764231589199E-2</v>
      </c>
      <c r="AL6" s="65" t="s">
        <v>170</v>
      </c>
      <c r="AM6" s="2">
        <f>'MCDA - REMBRANDT'!AX11</f>
        <v>-2</v>
      </c>
      <c r="AN6" s="2">
        <f>'MCDA - REMBRANDT'!AY11</f>
        <v>0</v>
      </c>
      <c r="AO6" s="2">
        <f>'MCDA - REMBRANDT'!AZ11</f>
        <v>2</v>
      </c>
      <c r="AP6" s="2">
        <f>'MCDA - REMBRANDT'!BA11</f>
        <v>4</v>
      </c>
      <c r="AQ6" s="2">
        <f>'MCDA - REMBRANDT'!BB11</f>
        <v>4</v>
      </c>
      <c r="AR6" s="2">
        <f>'MCDA - REMBRANDT'!BC11</f>
        <v>6</v>
      </c>
      <c r="AS6" s="2">
        <f t="shared" ref="AS6:AS10" si="25">EXP((LN(SQRT(2)))*AM6)</f>
        <v>0.49999999999999994</v>
      </c>
      <c r="AT6" s="2">
        <f t="shared" si="4"/>
        <v>1</v>
      </c>
      <c r="AU6" s="2">
        <f t="shared" si="4"/>
        <v>2</v>
      </c>
      <c r="AV6" s="2">
        <f t="shared" si="4"/>
        <v>4.0000000000000009</v>
      </c>
      <c r="AW6" s="2">
        <f t="shared" si="4"/>
        <v>4.0000000000000009</v>
      </c>
      <c r="AX6" s="2">
        <f t="shared" si="4"/>
        <v>8.0000000000000018</v>
      </c>
      <c r="AY6" s="62">
        <f t="shared" ref="AY6:AY10" si="26">GEOMEAN(AS6:AX6)</f>
        <v>2.244924096618746</v>
      </c>
      <c r="AZ6" s="2">
        <f t="shared" ref="AZ6:AZ10" si="27">AY6/SUM($AY$5:$AY$10)</f>
        <v>0.25752858192249573</v>
      </c>
      <c r="BB6" t="s">
        <v>30</v>
      </c>
      <c r="BC6">
        <f>'MCDA - REMBRANDT'!AU11^'REMBRANDT Sensitivity Analysis'!$AZ$5*'MCDA - REMBRANDT'!AU29^'REMBRANDT Sensitivity Analysis'!$AZ$6*'MCDA - REMBRANDT'!AJ11^'REMBRANDT Sensitivity Analysis'!$AZ$7*'MCDA - REMBRANDT'!AJ29^'REMBRANDT Sensitivity Analysis'!$AZ$8*'MCDA - REMBRANDT'!Y11^'REMBRANDT Sensitivity Analysis'!$AZ$9*'MCDA - REMBRANDT'!Y29^'REMBRANDT Sensitivity Analysis'!$AZ$10</f>
        <v>7.0001251378517329E-2</v>
      </c>
    </row>
    <row r="7" spans="2:55" x14ac:dyDescent="0.3">
      <c r="C7" s="64" t="s">
        <v>35</v>
      </c>
      <c r="D7" s="61">
        <f>'MCDA - Economic'!W45</f>
        <v>2</v>
      </c>
      <c r="E7" s="61">
        <f>'MCDA - Economic'!X45</f>
        <v>6</v>
      </c>
      <c r="F7" s="61">
        <f>'MCDA - Economic'!Y45</f>
        <v>0</v>
      </c>
      <c r="G7" s="61">
        <f>'MCDA - Economic'!Z45</f>
        <v>-2</v>
      </c>
      <c r="I7" t="s">
        <v>35</v>
      </c>
      <c r="J7">
        <f t="shared" si="5"/>
        <v>1</v>
      </c>
      <c r="K7">
        <f t="shared" si="6"/>
        <v>1</v>
      </c>
      <c r="L7">
        <f t="shared" si="7"/>
        <v>1</v>
      </c>
      <c r="M7">
        <f t="shared" si="8"/>
        <v>1</v>
      </c>
      <c r="N7" s="68">
        <f t="shared" si="9"/>
        <v>1</v>
      </c>
      <c r="P7" t="s">
        <v>35</v>
      </c>
      <c r="Q7">
        <f t="shared" si="10"/>
        <v>2.8899999999999997</v>
      </c>
      <c r="R7">
        <f t="shared" si="11"/>
        <v>24.137569000000003</v>
      </c>
      <c r="S7">
        <f t="shared" si="12"/>
        <v>1</v>
      </c>
      <c r="T7">
        <f t="shared" si="13"/>
        <v>0.34602076124567477</v>
      </c>
      <c r="U7" s="68">
        <f t="shared" si="14"/>
        <v>2.2165288177689004</v>
      </c>
      <c r="W7" t="s">
        <v>35</v>
      </c>
      <c r="X7">
        <f t="shared" si="15"/>
        <v>4</v>
      </c>
      <c r="Y7">
        <f t="shared" si="16"/>
        <v>63.999999999999979</v>
      </c>
      <c r="Z7">
        <f t="shared" si="17"/>
        <v>1</v>
      </c>
      <c r="AA7">
        <f t="shared" si="18"/>
        <v>0.25</v>
      </c>
      <c r="AB7" s="68">
        <f t="shared" si="19"/>
        <v>2.8284271247461898</v>
      </c>
      <c r="AD7" t="s">
        <v>35</v>
      </c>
      <c r="AE7">
        <f t="shared" si="20"/>
        <v>7.2900000000000009</v>
      </c>
      <c r="AF7">
        <f t="shared" si="21"/>
        <v>387.42048900000032</v>
      </c>
      <c r="AG7">
        <f t="shared" si="22"/>
        <v>1</v>
      </c>
      <c r="AH7">
        <f t="shared" si="23"/>
        <v>0.1371742112482853</v>
      </c>
      <c r="AI7" s="68">
        <f t="shared" si="24"/>
        <v>4.4365527157918461</v>
      </c>
      <c r="AL7" s="65" t="s">
        <v>159</v>
      </c>
      <c r="AM7" s="2">
        <f>'MCDA - REMBRANDT'!AX12</f>
        <v>-4</v>
      </c>
      <c r="AN7" s="2">
        <f>'MCDA - REMBRANDT'!AY12</f>
        <v>-2</v>
      </c>
      <c r="AO7" s="2">
        <f>'MCDA - REMBRANDT'!AZ12</f>
        <v>0</v>
      </c>
      <c r="AP7" s="2">
        <f>'MCDA - REMBRANDT'!BA12</f>
        <v>2</v>
      </c>
      <c r="AQ7" s="2">
        <f>'MCDA - REMBRANDT'!BB12</f>
        <v>2</v>
      </c>
      <c r="AR7" s="2">
        <f>'MCDA - REMBRANDT'!BC12</f>
        <v>2</v>
      </c>
      <c r="AS7" s="2">
        <f t="shared" si="25"/>
        <v>0.24999999999999994</v>
      </c>
      <c r="AT7" s="2">
        <f t="shared" si="4"/>
        <v>0.49999999999999994</v>
      </c>
      <c r="AU7" s="2">
        <f t="shared" si="4"/>
        <v>1</v>
      </c>
      <c r="AV7" s="2">
        <f t="shared" si="4"/>
        <v>2</v>
      </c>
      <c r="AW7" s="2">
        <f t="shared" si="4"/>
        <v>2</v>
      </c>
      <c r="AX7" s="2">
        <f t="shared" si="4"/>
        <v>2</v>
      </c>
      <c r="AY7" s="62">
        <f t="shared" si="26"/>
        <v>1</v>
      </c>
      <c r="AZ7" s="2">
        <f t="shared" si="27"/>
        <v>0.11471594175962541</v>
      </c>
      <c r="BB7" t="s">
        <v>35</v>
      </c>
      <c r="BC7">
        <f>'MCDA - REMBRANDT'!AU12^'REMBRANDT Sensitivity Analysis'!$AZ$5*'MCDA - REMBRANDT'!AU30^'REMBRANDT Sensitivity Analysis'!$AZ$6*'MCDA - REMBRANDT'!AJ12^'REMBRANDT Sensitivity Analysis'!$AZ$7*'MCDA - REMBRANDT'!AJ30^'REMBRANDT Sensitivity Analysis'!$AZ$8*'MCDA - REMBRANDT'!Y12^'REMBRANDT Sensitivity Analysis'!$AZ$9*'MCDA - REMBRANDT'!Y30^'REMBRANDT Sensitivity Analysis'!$AZ$10</f>
        <v>4.1616483066980363</v>
      </c>
    </row>
    <row r="8" spans="2:55" x14ac:dyDescent="0.3">
      <c r="C8" s="64" t="s">
        <v>36</v>
      </c>
      <c r="D8" s="61">
        <f>'MCDA - Economic'!W46</f>
        <v>4</v>
      </c>
      <c r="E8" s="61">
        <f>'MCDA - Economic'!X46</f>
        <v>6</v>
      </c>
      <c r="F8" s="61">
        <f>'MCDA - Economic'!Y46</f>
        <v>2</v>
      </c>
      <c r="G8" s="61">
        <f>'MCDA - Economic'!Z46</f>
        <v>0</v>
      </c>
      <c r="I8" t="s">
        <v>36</v>
      </c>
      <c r="J8">
        <f t="shared" si="5"/>
        <v>1</v>
      </c>
      <c r="K8">
        <f t="shared" si="6"/>
        <v>1</v>
      </c>
      <c r="L8">
        <f t="shared" si="7"/>
        <v>1</v>
      </c>
      <c r="M8">
        <f t="shared" si="8"/>
        <v>1</v>
      </c>
      <c r="N8" s="68">
        <f t="shared" si="9"/>
        <v>1</v>
      </c>
      <c r="P8" t="s">
        <v>36</v>
      </c>
      <c r="Q8">
        <f t="shared" si="10"/>
        <v>8.3521000000000001</v>
      </c>
      <c r="R8">
        <f t="shared" si="11"/>
        <v>24.137569000000003</v>
      </c>
      <c r="S8">
        <f t="shared" si="12"/>
        <v>2.8899999999999997</v>
      </c>
      <c r="T8">
        <f t="shared" si="13"/>
        <v>1</v>
      </c>
      <c r="U8" s="68">
        <f t="shared" si="14"/>
        <v>4.9130000000000003</v>
      </c>
      <c r="W8" t="s">
        <v>36</v>
      </c>
      <c r="X8">
        <f t="shared" si="15"/>
        <v>15.999999999999998</v>
      </c>
      <c r="Y8">
        <f t="shared" si="16"/>
        <v>63.999999999999979</v>
      </c>
      <c r="Z8">
        <f t="shared" si="17"/>
        <v>4</v>
      </c>
      <c r="AA8">
        <f t="shared" si="18"/>
        <v>1</v>
      </c>
      <c r="AB8" s="68">
        <f t="shared" si="19"/>
        <v>7.9999999999999991</v>
      </c>
      <c r="AD8" t="s">
        <v>36</v>
      </c>
      <c r="AE8">
        <f t="shared" si="20"/>
        <v>53.144100000000009</v>
      </c>
      <c r="AF8">
        <f t="shared" si="21"/>
        <v>387.42048900000032</v>
      </c>
      <c r="AG8">
        <f t="shared" si="22"/>
        <v>7.2900000000000009</v>
      </c>
      <c r="AH8">
        <f t="shared" si="23"/>
        <v>1</v>
      </c>
      <c r="AI8" s="68">
        <f t="shared" si="24"/>
        <v>19.683000000000007</v>
      </c>
      <c r="AL8" s="65" t="s">
        <v>160</v>
      </c>
      <c r="AM8" s="2">
        <f>'MCDA - REMBRANDT'!AX13</f>
        <v>-6</v>
      </c>
      <c r="AN8" s="2">
        <f>'MCDA - REMBRANDT'!AY13</f>
        <v>-4</v>
      </c>
      <c r="AO8" s="2">
        <f>'MCDA - REMBRANDT'!AZ13</f>
        <v>-2</v>
      </c>
      <c r="AP8" s="2">
        <f>'MCDA - REMBRANDT'!BA13</f>
        <v>0</v>
      </c>
      <c r="AQ8" s="2">
        <f>'MCDA - REMBRANDT'!BB13</f>
        <v>2</v>
      </c>
      <c r="AR8" s="2">
        <f>'MCDA - REMBRANDT'!BC13</f>
        <v>2</v>
      </c>
      <c r="AS8" s="2">
        <f t="shared" si="25"/>
        <v>0.12499999999999997</v>
      </c>
      <c r="AT8" s="2">
        <f t="shared" si="4"/>
        <v>0.24999999999999994</v>
      </c>
      <c r="AU8" s="2">
        <f t="shared" si="4"/>
        <v>0.49999999999999994</v>
      </c>
      <c r="AV8" s="2">
        <f t="shared" si="4"/>
        <v>1</v>
      </c>
      <c r="AW8" s="2">
        <f t="shared" si="4"/>
        <v>2</v>
      </c>
      <c r="AX8" s="2">
        <f t="shared" si="4"/>
        <v>2</v>
      </c>
      <c r="AY8" s="62">
        <f t="shared" si="26"/>
        <v>0.6299605249474366</v>
      </c>
      <c r="AZ8" s="2">
        <f t="shared" si="27"/>
        <v>7.2266514890733186E-2</v>
      </c>
      <c r="BB8" t="s">
        <v>36</v>
      </c>
      <c r="BC8">
        <f>'MCDA - REMBRANDT'!AU13^'REMBRANDT Sensitivity Analysis'!$AZ$5*'MCDA - REMBRANDT'!AU31^'REMBRANDT Sensitivity Analysis'!$AZ$6*'MCDA - REMBRANDT'!AJ13^'REMBRANDT Sensitivity Analysis'!$AZ$7*'MCDA - REMBRANDT'!AJ31^'REMBRANDT Sensitivity Analysis'!$AZ$8*'MCDA - REMBRANDT'!Y13^'REMBRANDT Sensitivity Analysis'!$AZ$9*'MCDA - REMBRANDT'!Y31^'REMBRANDT Sensitivity Analysis'!$AZ$10</f>
        <v>4.0827878502045341</v>
      </c>
    </row>
    <row r="9" spans="2:55" x14ac:dyDescent="0.3">
      <c r="AL9" s="65" t="s">
        <v>71</v>
      </c>
      <c r="AM9" s="2">
        <f>'MCDA - REMBRANDT'!AX14</f>
        <v>-6</v>
      </c>
      <c r="AN9" s="2">
        <f>'MCDA - REMBRANDT'!AY14</f>
        <v>-4</v>
      </c>
      <c r="AO9" s="2">
        <f>'MCDA - REMBRANDT'!AZ14</f>
        <v>-2</v>
      </c>
      <c r="AP9" s="2">
        <f>'MCDA - REMBRANDT'!BA14</f>
        <v>-2</v>
      </c>
      <c r="AQ9" s="2">
        <f>'MCDA - REMBRANDT'!BB14</f>
        <v>0</v>
      </c>
      <c r="AR9" s="2">
        <f>'MCDA - REMBRANDT'!BC14</f>
        <v>0</v>
      </c>
      <c r="AS9" s="2">
        <f t="shared" si="25"/>
        <v>0.12499999999999997</v>
      </c>
      <c r="AT9" s="2">
        <f t="shared" si="4"/>
        <v>0.24999999999999994</v>
      </c>
      <c r="AU9" s="2">
        <f t="shared" si="4"/>
        <v>0.49999999999999994</v>
      </c>
      <c r="AV9" s="2">
        <f t="shared" si="4"/>
        <v>0.49999999999999994</v>
      </c>
      <c r="AW9" s="2">
        <f t="shared" si="4"/>
        <v>1</v>
      </c>
      <c r="AX9" s="2">
        <f t="shared" si="4"/>
        <v>1</v>
      </c>
      <c r="AY9" s="62">
        <f t="shared" si="26"/>
        <v>0.44544935907016958</v>
      </c>
      <c r="AZ9" s="2">
        <f t="shared" si="27"/>
        <v>5.1100142731956039E-2</v>
      </c>
    </row>
    <row r="10" spans="2:55" x14ac:dyDescent="0.3">
      <c r="B10" s="44" t="s">
        <v>170</v>
      </c>
      <c r="C10" s="64"/>
      <c r="D10" s="64" t="s">
        <v>27</v>
      </c>
      <c r="E10" s="64" t="s">
        <v>30</v>
      </c>
      <c r="F10" s="64" t="s">
        <v>35</v>
      </c>
      <c r="G10" s="64" t="s">
        <v>36</v>
      </c>
      <c r="J10" t="s">
        <v>27</v>
      </c>
      <c r="K10" t="s">
        <v>30</v>
      </c>
      <c r="L10" t="s">
        <v>35</v>
      </c>
      <c r="M10" t="s">
        <v>36</v>
      </c>
      <c r="Q10" t="s">
        <v>27</v>
      </c>
      <c r="R10" t="s">
        <v>30</v>
      </c>
      <c r="S10" t="s">
        <v>35</v>
      </c>
      <c r="T10" t="s">
        <v>36</v>
      </c>
      <c r="X10" t="s">
        <v>27</v>
      </c>
      <c r="Y10" t="s">
        <v>30</v>
      </c>
      <c r="Z10" t="s">
        <v>35</v>
      </c>
      <c r="AA10" t="s">
        <v>36</v>
      </c>
      <c r="AE10" t="s">
        <v>27</v>
      </c>
      <c r="AF10" t="s">
        <v>30</v>
      </c>
      <c r="AG10" t="s">
        <v>35</v>
      </c>
      <c r="AH10" t="s">
        <v>36</v>
      </c>
      <c r="AL10" s="65" t="s">
        <v>72</v>
      </c>
      <c r="AM10" s="2">
        <f>'MCDA - REMBRANDT'!AX15</f>
        <v>-6</v>
      </c>
      <c r="AN10" s="2">
        <f>'MCDA - REMBRANDT'!AY15</f>
        <v>-6</v>
      </c>
      <c r="AO10" s="2">
        <f>'MCDA - REMBRANDT'!AZ15</f>
        <v>-2</v>
      </c>
      <c r="AP10" s="2">
        <f>'MCDA - REMBRANDT'!BA15</f>
        <v>-2</v>
      </c>
      <c r="AQ10" s="2">
        <f>'MCDA - REMBRANDT'!BB15</f>
        <v>0</v>
      </c>
      <c r="AR10" s="2">
        <f>'MCDA - REMBRANDT'!BC15</f>
        <v>0</v>
      </c>
      <c r="AS10" s="2">
        <f t="shared" si="25"/>
        <v>0.12499999999999997</v>
      </c>
      <c r="AT10" s="2">
        <f t="shared" si="4"/>
        <v>0.12499999999999997</v>
      </c>
      <c r="AU10" s="2">
        <f t="shared" si="4"/>
        <v>0.49999999999999994</v>
      </c>
      <c r="AV10" s="2">
        <f t="shared" si="4"/>
        <v>0.49999999999999994</v>
      </c>
      <c r="AW10" s="2">
        <f t="shared" si="4"/>
        <v>1</v>
      </c>
      <c r="AX10" s="2">
        <f t="shared" si="4"/>
        <v>1</v>
      </c>
      <c r="AY10" s="62">
        <f t="shared" si="26"/>
        <v>0.39685026299204984</v>
      </c>
      <c r="AZ10" s="2">
        <f t="shared" si="27"/>
        <v>4.5525051656688013E-2</v>
      </c>
    </row>
    <row r="11" spans="2:55" x14ac:dyDescent="0.3">
      <c r="C11" s="64" t="s">
        <v>27</v>
      </c>
      <c r="D11" s="61">
        <f>'MCDA - Economic'!W69</f>
        <v>0</v>
      </c>
      <c r="E11" s="61">
        <f>'MCDA - Economic'!X69</f>
        <v>6</v>
      </c>
      <c r="F11" s="61">
        <f>'MCDA - Economic'!Y69</f>
        <v>-6</v>
      </c>
      <c r="G11" s="61">
        <f>'MCDA - Economic'!Z69</f>
        <v>-4</v>
      </c>
      <c r="I11" t="s">
        <v>27</v>
      </c>
      <c r="J11">
        <f>EXP((LN(1)*+D11))</f>
        <v>1</v>
      </c>
      <c r="K11">
        <f t="shared" ref="K11:M11" si="28">EXP((LN(1)*+E11))</f>
        <v>1</v>
      </c>
      <c r="L11">
        <f t="shared" si="28"/>
        <v>1</v>
      </c>
      <c r="M11">
        <f t="shared" si="28"/>
        <v>1</v>
      </c>
      <c r="N11" s="68">
        <f t="shared" si="9"/>
        <v>1</v>
      </c>
      <c r="P11" t="s">
        <v>27</v>
      </c>
      <c r="Q11">
        <f>EXP((LN(1.7)*+D11))</f>
        <v>1</v>
      </c>
      <c r="R11">
        <f t="shared" ref="R11:T11" si="29">EXP((LN(1.7)*+E11))</f>
        <v>24.137569000000003</v>
      </c>
      <c r="S11">
        <f t="shared" si="29"/>
        <v>4.1429192807278969E-2</v>
      </c>
      <c r="T11">
        <f t="shared" si="29"/>
        <v>0.11973036721303625</v>
      </c>
      <c r="U11" s="68">
        <f t="shared" ref="U11:U14" si="30">GEOMEAN(Q11:T11)</f>
        <v>0.58823529411764708</v>
      </c>
      <c r="W11" t="s">
        <v>27</v>
      </c>
      <c r="X11">
        <f>EXP((LN(2)*+D11))</f>
        <v>1</v>
      </c>
      <c r="Y11">
        <f t="shared" ref="Y11:AA11" si="31">EXP((LN(2)*+E11))</f>
        <v>63.999999999999979</v>
      </c>
      <c r="Z11">
        <f t="shared" si="31"/>
        <v>1.5625000000000007E-2</v>
      </c>
      <c r="AA11">
        <f t="shared" si="31"/>
        <v>6.25E-2</v>
      </c>
      <c r="AB11" s="68">
        <f t="shared" ref="AB11:AB14" si="32">GEOMEAN(X11:AA11)</f>
        <v>0.5</v>
      </c>
      <c r="AD11" t="s">
        <v>27</v>
      </c>
      <c r="AE11">
        <f>EXP((LN(2.7)*+D11))</f>
        <v>1</v>
      </c>
      <c r="AF11">
        <f t="shared" ref="AF11:AH11" si="33">EXP((LN(2.7)*+E11))</f>
        <v>387.42048900000032</v>
      </c>
      <c r="AG11">
        <f t="shared" si="33"/>
        <v>2.5811747917131953E-3</v>
      </c>
      <c r="AH11">
        <f t="shared" si="33"/>
        <v>1.8816764231589202E-2</v>
      </c>
      <c r="AI11" s="68">
        <f t="shared" ref="AI11:AI14" si="34">GEOMEAN(AE11:AH11)</f>
        <v>0.37037037037037035</v>
      </c>
    </row>
    <row r="12" spans="2:55" x14ac:dyDescent="0.3">
      <c r="C12" s="64" t="s">
        <v>30</v>
      </c>
      <c r="D12" s="61">
        <f>'MCDA - Economic'!W70</f>
        <v>-6</v>
      </c>
      <c r="E12" s="61">
        <f>'MCDA - Economic'!X70</f>
        <v>0</v>
      </c>
      <c r="F12" s="61">
        <f>'MCDA - Economic'!Y70</f>
        <v>-8</v>
      </c>
      <c r="G12" s="61">
        <f>'MCDA - Economic'!Z70</f>
        <v>-8</v>
      </c>
      <c r="I12" t="s">
        <v>30</v>
      </c>
      <c r="J12">
        <f t="shared" ref="J12:J14" si="35">EXP((LN(1)*+D12))</f>
        <v>1</v>
      </c>
      <c r="K12">
        <f t="shared" ref="K12:K14" si="36">EXP((LN(1)*+E12))</f>
        <v>1</v>
      </c>
      <c r="L12">
        <f t="shared" ref="L12:L14" si="37">EXP((LN(1)*+F12))</f>
        <v>1</v>
      </c>
      <c r="M12">
        <f t="shared" ref="M12:M14" si="38">EXP((LN(1)*+G12))</f>
        <v>1</v>
      </c>
      <c r="N12" s="68">
        <f t="shared" si="9"/>
        <v>1</v>
      </c>
      <c r="P12" t="s">
        <v>30</v>
      </c>
      <c r="Q12">
        <f t="shared" ref="Q12:Q14" si="39">EXP((LN(1.7)*+D12))</f>
        <v>4.1429192807278969E-2</v>
      </c>
      <c r="R12">
        <f t="shared" ref="R12:R14" si="40">EXP((LN(1.7)*+E12))</f>
        <v>1</v>
      </c>
      <c r="S12">
        <f t="shared" ref="S12:S14" si="41">EXP((LN(1.7)*+F12))</f>
        <v>1.4335360832968507E-2</v>
      </c>
      <c r="T12">
        <f t="shared" ref="T12:T14" si="42">EXP((LN(1.7)*+G12))</f>
        <v>1.4335360832968507E-2</v>
      </c>
      <c r="U12" s="68">
        <f t="shared" si="30"/>
        <v>5.4017058678963475E-2</v>
      </c>
      <c r="W12" t="s">
        <v>30</v>
      </c>
      <c r="X12">
        <f t="shared" ref="X12:X14" si="43">EXP((LN(2)*+D12))</f>
        <v>1.5625000000000007E-2</v>
      </c>
      <c r="Y12">
        <f t="shared" ref="Y12:Y14" si="44">EXP((LN(2)*+E12))</f>
        <v>1</v>
      </c>
      <c r="Z12">
        <f t="shared" ref="Z12:Z14" si="45">EXP((LN(2)*+F12))</f>
        <v>3.9062500000000009E-3</v>
      </c>
      <c r="AA12">
        <f t="shared" ref="AA12:AA14" si="46">EXP((LN(2)*+G12))</f>
        <v>3.9062500000000009E-3</v>
      </c>
      <c r="AB12" s="68">
        <f t="shared" si="32"/>
        <v>2.2097086912079615E-2</v>
      </c>
      <c r="AD12" t="s">
        <v>30</v>
      </c>
      <c r="AE12">
        <f t="shared" ref="AE12:AE14" si="47">EXP((LN(2.7)*+D12))</f>
        <v>2.5811747917131953E-3</v>
      </c>
      <c r="AF12">
        <f t="shared" ref="AF12:AF14" si="48">EXP((LN(2.7)*+E12))</f>
        <v>1</v>
      </c>
      <c r="AG12">
        <f t="shared" ref="AG12:AG14" si="49">EXP((LN(2.7)*+F12))</f>
        <v>3.540706161472148E-4</v>
      </c>
      <c r="AH12">
        <f t="shared" ref="AH12:AH14" si="50">EXP((LN(2.7)*+G12))</f>
        <v>3.540706161472148E-4</v>
      </c>
      <c r="AI12" s="68">
        <f t="shared" si="34"/>
        <v>4.2413029748550489E-3</v>
      </c>
    </row>
    <row r="13" spans="2:55" x14ac:dyDescent="0.3">
      <c r="C13" s="64" t="s">
        <v>35</v>
      </c>
      <c r="D13" s="61">
        <f>'MCDA - Economic'!W71</f>
        <v>6</v>
      </c>
      <c r="E13" s="61">
        <f>'MCDA - Economic'!X71</f>
        <v>8</v>
      </c>
      <c r="F13" s="61">
        <f>'MCDA - Economic'!Y71</f>
        <v>0</v>
      </c>
      <c r="G13" s="61">
        <f>'MCDA - Economic'!Z71</f>
        <v>2</v>
      </c>
      <c r="I13" t="s">
        <v>35</v>
      </c>
      <c r="J13">
        <f t="shared" si="35"/>
        <v>1</v>
      </c>
      <c r="K13">
        <f t="shared" si="36"/>
        <v>1</v>
      </c>
      <c r="L13">
        <f t="shared" si="37"/>
        <v>1</v>
      </c>
      <c r="M13">
        <f t="shared" si="38"/>
        <v>1</v>
      </c>
      <c r="N13" s="68">
        <f t="shared" si="9"/>
        <v>1</v>
      </c>
      <c r="P13" t="s">
        <v>35</v>
      </c>
      <c r="Q13">
        <f t="shared" si="39"/>
        <v>24.137569000000003</v>
      </c>
      <c r="R13">
        <f t="shared" si="40"/>
        <v>69.757574409999989</v>
      </c>
      <c r="S13">
        <f t="shared" si="41"/>
        <v>1</v>
      </c>
      <c r="T13">
        <f t="shared" si="42"/>
        <v>2.8899999999999997</v>
      </c>
      <c r="U13" s="68">
        <f t="shared" si="30"/>
        <v>8.3521000000000001</v>
      </c>
      <c r="W13" t="s">
        <v>35</v>
      </c>
      <c r="X13">
        <f t="shared" si="43"/>
        <v>63.999999999999979</v>
      </c>
      <c r="Y13">
        <f t="shared" si="44"/>
        <v>255.99999999999994</v>
      </c>
      <c r="Z13">
        <f t="shared" si="45"/>
        <v>1</v>
      </c>
      <c r="AA13">
        <f t="shared" si="46"/>
        <v>4</v>
      </c>
      <c r="AB13" s="68">
        <f t="shared" si="32"/>
        <v>15.999999999999998</v>
      </c>
      <c r="AD13" t="s">
        <v>35</v>
      </c>
      <c r="AE13">
        <f t="shared" si="47"/>
        <v>387.42048900000032</v>
      </c>
      <c r="AF13">
        <f t="shared" si="48"/>
        <v>2824.295364810001</v>
      </c>
      <c r="AG13">
        <f t="shared" si="49"/>
        <v>1</v>
      </c>
      <c r="AH13">
        <f t="shared" si="50"/>
        <v>7.2900000000000009</v>
      </c>
      <c r="AI13" s="68">
        <f t="shared" si="34"/>
        <v>53.144100000000016</v>
      </c>
      <c r="AR13" t="s">
        <v>241</v>
      </c>
      <c r="AS13" s="2"/>
      <c r="AT13" s="2"/>
      <c r="AU13" s="2"/>
      <c r="AV13" s="2"/>
      <c r="AW13" s="2"/>
      <c r="AX13" s="2"/>
      <c r="AY13" s="65" t="s">
        <v>230</v>
      </c>
      <c r="AZ13" s="69" t="s">
        <v>0</v>
      </c>
      <c r="BB13" t="s">
        <v>241</v>
      </c>
      <c r="BC13" t="s">
        <v>247</v>
      </c>
    </row>
    <row r="14" spans="2:55" x14ac:dyDescent="0.3">
      <c r="C14" s="64" t="s">
        <v>36</v>
      </c>
      <c r="D14" s="61">
        <f>'MCDA - Economic'!W72</f>
        <v>4</v>
      </c>
      <c r="E14" s="61">
        <f>'MCDA - Economic'!X72</f>
        <v>8</v>
      </c>
      <c r="F14" s="61">
        <f>'MCDA - Economic'!Y72</f>
        <v>-2</v>
      </c>
      <c r="G14" s="61">
        <f>'MCDA - Economic'!Z72</f>
        <v>0</v>
      </c>
      <c r="I14" t="s">
        <v>36</v>
      </c>
      <c r="J14">
        <f t="shared" si="35"/>
        <v>1</v>
      </c>
      <c r="K14">
        <f t="shared" si="36"/>
        <v>1</v>
      </c>
      <c r="L14">
        <f t="shared" si="37"/>
        <v>1</v>
      </c>
      <c r="M14">
        <f t="shared" si="38"/>
        <v>1</v>
      </c>
      <c r="N14" s="68">
        <f t="shared" si="9"/>
        <v>1</v>
      </c>
      <c r="P14" t="s">
        <v>36</v>
      </c>
      <c r="Q14">
        <f t="shared" si="39"/>
        <v>8.3521000000000001</v>
      </c>
      <c r="R14">
        <f t="shared" si="40"/>
        <v>69.757574409999989</v>
      </c>
      <c r="S14">
        <f t="shared" si="41"/>
        <v>0.34602076124567477</v>
      </c>
      <c r="T14">
        <f t="shared" si="42"/>
        <v>1</v>
      </c>
      <c r="U14" s="68">
        <f t="shared" si="30"/>
        <v>3.7680989902071311</v>
      </c>
      <c r="W14" t="s">
        <v>36</v>
      </c>
      <c r="X14">
        <f t="shared" si="43"/>
        <v>15.999999999999998</v>
      </c>
      <c r="Y14">
        <f t="shared" si="44"/>
        <v>255.99999999999994</v>
      </c>
      <c r="Z14">
        <f t="shared" si="45"/>
        <v>0.25</v>
      </c>
      <c r="AA14">
        <f t="shared" si="46"/>
        <v>1</v>
      </c>
      <c r="AB14" s="68">
        <f t="shared" si="32"/>
        <v>5.6568542494923797</v>
      </c>
      <c r="AD14" t="s">
        <v>36</v>
      </c>
      <c r="AE14">
        <f t="shared" si="47"/>
        <v>53.144100000000009</v>
      </c>
      <c r="AF14">
        <f t="shared" si="48"/>
        <v>2824.295364810001</v>
      </c>
      <c r="AG14">
        <f t="shared" si="49"/>
        <v>0.1371742112482853</v>
      </c>
      <c r="AH14">
        <f t="shared" si="50"/>
        <v>1</v>
      </c>
      <c r="AI14" s="68">
        <f t="shared" si="34"/>
        <v>11.978692332637985</v>
      </c>
      <c r="AS14" s="2">
        <f>EXP(LN(1^0.5)*AM5)</f>
        <v>1</v>
      </c>
      <c r="AT14" s="2">
        <f t="shared" ref="AT14:AX14" si="51">EXP(LN(1^0.5)*AN5)</f>
        <v>1</v>
      </c>
      <c r="AU14" s="2">
        <f t="shared" si="51"/>
        <v>1</v>
      </c>
      <c r="AV14" s="2">
        <f t="shared" si="51"/>
        <v>1</v>
      </c>
      <c r="AW14" s="2">
        <f t="shared" si="51"/>
        <v>1</v>
      </c>
      <c r="AX14" s="2">
        <f t="shared" si="51"/>
        <v>1</v>
      </c>
      <c r="AY14" s="62">
        <f>GEOMEAN(AS14:AX14)</f>
        <v>1</v>
      </c>
      <c r="AZ14" s="2">
        <f>AY14/SUM($AY$14:$AY$19)</f>
        <v>0.16666666666666666</v>
      </c>
      <c r="BB14" t="s">
        <v>27</v>
      </c>
      <c r="BC14">
        <f>'MCDA - REMBRANDT'!AU10^$AZ$14*'MCDA - REMBRANDT'!AU28^$AZ$15*'MCDA - REMBRANDT'!AJ10^$AZ$16*'MCDA - REMBRANDT'!AJ28^$AZ$17*'MCDA - REMBRANDT'!Y10^$AZ$18*'MCDA - REMBRANDT'!Y28^$AZ$19</f>
        <v>1.6817928305074288</v>
      </c>
    </row>
    <row r="15" spans="2:55" x14ac:dyDescent="0.3">
      <c r="AS15" s="2">
        <f t="shared" ref="AS15:AS19" si="52">EXP(LN(1^0.5)*AM6)</f>
        <v>1</v>
      </c>
      <c r="AT15" s="2">
        <f t="shared" ref="AT15:AT19" si="53">EXP(LN(1^0.5)*AN6)</f>
        <v>1</v>
      </c>
      <c r="AU15" s="2">
        <f t="shared" ref="AU15:AU19" si="54">EXP(LN(1^0.5)*AO6)</f>
        <v>1</v>
      </c>
      <c r="AV15" s="2">
        <f t="shared" ref="AV15:AV19" si="55">EXP(LN(1^0.5)*AP6)</f>
        <v>1</v>
      </c>
      <c r="AW15" s="2">
        <f t="shared" ref="AW15:AW19" si="56">EXP(LN(1^0.5)*AQ6)</f>
        <v>1</v>
      </c>
      <c r="AX15" s="2">
        <f t="shared" ref="AX15:AX19" si="57">EXP(LN(1^0.5)*AR6)</f>
        <v>1</v>
      </c>
      <c r="AY15" s="62">
        <f t="shared" ref="AY15:AY19" si="58">GEOMEAN(AS15:AX15)</f>
        <v>1</v>
      </c>
      <c r="AZ15" s="2">
        <f t="shared" ref="AZ15:AZ19" si="59">AY15/SUM($AY$14:$AY$19)</f>
        <v>0.16666666666666666</v>
      </c>
      <c r="BB15" t="s">
        <v>30</v>
      </c>
      <c r="BC15">
        <f>'MCDA - REMBRANDT'!AU11^$AZ$14*'MCDA - REMBRANDT'!AU29^$AZ$15*'MCDA - REMBRANDT'!AJ11^$AZ$16*'MCDA - REMBRANDT'!AJ29^$AZ$17*'MCDA - REMBRANDT'!Y11^$AZ$18*'MCDA - REMBRANDT'!Y29^$AZ$19</f>
        <v>0.18728838460958522</v>
      </c>
    </row>
    <row r="16" spans="2:55" x14ac:dyDescent="0.3">
      <c r="B16" s="44" t="s">
        <v>159</v>
      </c>
      <c r="C16" s="63"/>
      <c r="D16" s="63" t="s">
        <v>27</v>
      </c>
      <c r="E16" s="63" t="s">
        <v>30</v>
      </c>
      <c r="F16" s="63" t="s">
        <v>35</v>
      </c>
      <c r="G16" s="63" t="s">
        <v>36</v>
      </c>
      <c r="J16" t="s">
        <v>27</v>
      </c>
      <c r="K16" t="s">
        <v>30</v>
      </c>
      <c r="L16" t="s">
        <v>35</v>
      </c>
      <c r="M16" t="s">
        <v>36</v>
      </c>
      <c r="Q16" t="s">
        <v>27</v>
      </c>
      <c r="R16" t="s">
        <v>30</v>
      </c>
      <c r="S16" t="s">
        <v>35</v>
      </c>
      <c r="T16" t="s">
        <v>36</v>
      </c>
      <c r="X16" t="s">
        <v>27</v>
      </c>
      <c r="Y16" t="s">
        <v>30</v>
      </c>
      <c r="Z16" t="s">
        <v>35</v>
      </c>
      <c r="AA16" t="s">
        <v>36</v>
      </c>
      <c r="AE16" t="s">
        <v>27</v>
      </c>
      <c r="AF16" t="s">
        <v>30</v>
      </c>
      <c r="AG16" t="s">
        <v>35</v>
      </c>
      <c r="AH16" t="s">
        <v>36</v>
      </c>
      <c r="AS16" s="2">
        <f t="shared" si="52"/>
        <v>1</v>
      </c>
      <c r="AT16" s="2">
        <f t="shared" si="53"/>
        <v>1</v>
      </c>
      <c r="AU16" s="2">
        <f t="shared" si="54"/>
        <v>1</v>
      </c>
      <c r="AV16" s="2">
        <f t="shared" si="55"/>
        <v>1</v>
      </c>
      <c r="AW16" s="2">
        <f t="shared" si="56"/>
        <v>1</v>
      </c>
      <c r="AX16" s="2">
        <f t="shared" si="57"/>
        <v>1</v>
      </c>
      <c r="AY16" s="62">
        <f t="shared" si="58"/>
        <v>1</v>
      </c>
      <c r="AZ16" s="2">
        <f t="shared" si="59"/>
        <v>0.16666666666666666</v>
      </c>
      <c r="BB16" t="s">
        <v>35</v>
      </c>
      <c r="BC16">
        <f>'MCDA - REMBRANDT'!AU12^$AZ$14*'MCDA - REMBRANDT'!AU30^$AZ$15*'MCDA - REMBRANDT'!AJ12^$AZ$16*'MCDA - REMBRANDT'!AJ30^$AZ$17*'MCDA - REMBRANDT'!Y12^$AZ$18*'MCDA - REMBRANDT'!Y30^$AZ$19</f>
        <v>3.1748021039363983</v>
      </c>
    </row>
    <row r="17" spans="2:55" x14ac:dyDescent="0.3">
      <c r="C17" s="63" t="s">
        <v>27</v>
      </c>
      <c r="D17" s="61">
        <f>'MCDA - Environment'!AC21</f>
        <v>0</v>
      </c>
      <c r="E17" s="61">
        <f>'MCDA - Environment'!AD21</f>
        <v>2</v>
      </c>
      <c r="F17" s="61">
        <f>'MCDA - Environment'!AE21</f>
        <v>-4</v>
      </c>
      <c r="G17" s="61">
        <f>'MCDA - Environment'!AF21</f>
        <v>-6</v>
      </c>
      <c r="I17" t="s">
        <v>27</v>
      </c>
      <c r="J17">
        <f>EXP((LN(1)*+D17))</f>
        <v>1</v>
      </c>
      <c r="K17">
        <f t="shared" ref="K17:M17" si="60">EXP((LN(1)*+E17))</f>
        <v>1</v>
      </c>
      <c r="L17">
        <f t="shared" si="60"/>
        <v>1</v>
      </c>
      <c r="M17">
        <f t="shared" si="60"/>
        <v>1</v>
      </c>
      <c r="N17" s="68">
        <f t="shared" si="9"/>
        <v>1</v>
      </c>
      <c r="P17" t="s">
        <v>27</v>
      </c>
      <c r="Q17">
        <f>EXP((LN(1.7)*+D17))</f>
        <v>1</v>
      </c>
      <c r="R17">
        <f t="shared" ref="R17:T17" si="61">EXP((LN(1.7)*+E17))</f>
        <v>2.8899999999999997</v>
      </c>
      <c r="S17">
        <f t="shared" si="61"/>
        <v>0.11973036721303625</v>
      </c>
      <c r="T17">
        <f t="shared" si="61"/>
        <v>4.1429192807278969E-2</v>
      </c>
      <c r="U17" s="68">
        <f t="shared" ref="U17:U20" si="62">GEOMEAN(Q17:T17)</f>
        <v>0.34602076124567471</v>
      </c>
      <c r="W17" t="s">
        <v>27</v>
      </c>
      <c r="X17">
        <f>EXP((LN(2)*+D17))</f>
        <v>1</v>
      </c>
      <c r="Y17">
        <f t="shared" ref="Y17:AA17" si="63">EXP((LN(2)*+E17))</f>
        <v>4</v>
      </c>
      <c r="Z17">
        <f t="shared" si="63"/>
        <v>6.25E-2</v>
      </c>
      <c r="AA17">
        <f t="shared" si="63"/>
        <v>1.5625000000000007E-2</v>
      </c>
      <c r="AB17" s="68">
        <f t="shared" ref="AB17:AB20" si="64">GEOMEAN(X17:AA17)</f>
        <v>0.25</v>
      </c>
      <c r="AD17" t="s">
        <v>27</v>
      </c>
      <c r="AE17">
        <f>EXP((LN(2.7)*+D17))</f>
        <v>1</v>
      </c>
      <c r="AF17">
        <f t="shared" ref="AF17:AH17" si="65">EXP((LN(2.7)*+E17))</f>
        <v>7.2900000000000009</v>
      </c>
      <c r="AG17">
        <f t="shared" si="65"/>
        <v>1.8816764231589202E-2</v>
      </c>
      <c r="AH17">
        <f t="shared" si="65"/>
        <v>2.5811747917131953E-3</v>
      </c>
      <c r="AI17" s="68">
        <f t="shared" ref="AI17:AI20" si="66">GEOMEAN(AE17:AH17)</f>
        <v>0.1371742112482853</v>
      </c>
      <c r="AS17" s="2">
        <f t="shared" si="52"/>
        <v>1</v>
      </c>
      <c r="AT17" s="2">
        <f t="shared" si="53"/>
        <v>1</v>
      </c>
      <c r="AU17" s="2">
        <f t="shared" si="54"/>
        <v>1</v>
      </c>
      <c r="AV17" s="2">
        <f t="shared" si="55"/>
        <v>1</v>
      </c>
      <c r="AW17" s="2">
        <f t="shared" si="56"/>
        <v>1</v>
      </c>
      <c r="AX17" s="2">
        <f t="shared" si="57"/>
        <v>1</v>
      </c>
      <c r="AY17" s="62">
        <f t="shared" si="58"/>
        <v>1</v>
      </c>
      <c r="AZ17" s="2">
        <f t="shared" si="59"/>
        <v>0.16666666666666666</v>
      </c>
      <c r="BB17" t="s">
        <v>36</v>
      </c>
      <c r="BC17">
        <f>'MCDA - REMBRANDT'!AU13^$AZ$14*'MCDA - REMBRANDT'!AU31^$AZ$15*'MCDA - REMBRANDT'!AJ13^$AZ$16*'MCDA - REMBRANDT'!AJ31^$AZ$17*'MCDA - REMBRANDT'!Y13^$AZ$18*'MCDA - REMBRANDT'!Y31^$AZ$19</f>
        <v>1.0000000000000002</v>
      </c>
    </row>
    <row r="18" spans="2:55" x14ac:dyDescent="0.3">
      <c r="C18" s="63" t="s">
        <v>30</v>
      </c>
      <c r="D18" s="61">
        <f>'MCDA - Environment'!AC22</f>
        <v>-2</v>
      </c>
      <c r="E18" s="61">
        <f>'MCDA - Environment'!AD22</f>
        <v>0</v>
      </c>
      <c r="F18" s="61">
        <f>'MCDA - Environment'!AE22</f>
        <v>-6</v>
      </c>
      <c r="G18" s="61">
        <f>'MCDA - Environment'!AF22</f>
        <v>-8</v>
      </c>
      <c r="I18" t="s">
        <v>30</v>
      </c>
      <c r="J18">
        <f t="shared" ref="J18:J20" si="67">EXP((LN(1)*+D18))</f>
        <v>1</v>
      </c>
      <c r="K18">
        <f t="shared" ref="K18:K20" si="68">EXP((LN(1)*+E18))</f>
        <v>1</v>
      </c>
      <c r="L18">
        <f t="shared" ref="L18:L20" si="69">EXP((LN(1)*+F18))</f>
        <v>1</v>
      </c>
      <c r="M18">
        <f t="shared" ref="M18:M20" si="70">EXP((LN(1)*+G18))</f>
        <v>1</v>
      </c>
      <c r="N18" s="68">
        <f t="shared" si="9"/>
        <v>1</v>
      </c>
      <c r="P18" t="s">
        <v>30</v>
      </c>
      <c r="Q18">
        <f t="shared" ref="Q18:Q20" si="71">EXP((LN(1.7)*+D18))</f>
        <v>0.34602076124567477</v>
      </c>
      <c r="R18">
        <f t="shared" ref="R18:R20" si="72">EXP((LN(1.7)*+E18))</f>
        <v>1</v>
      </c>
      <c r="S18">
        <f t="shared" ref="S18:S20" si="73">EXP((LN(1.7)*+F18))</f>
        <v>4.1429192807278969E-2</v>
      </c>
      <c r="T18">
        <f t="shared" ref="T18:T20" si="74">EXP((LN(1.7)*+G18))</f>
        <v>1.4335360832968507E-2</v>
      </c>
      <c r="U18" s="68">
        <f t="shared" si="62"/>
        <v>0.11973036721303625</v>
      </c>
      <c r="W18" t="s">
        <v>30</v>
      </c>
      <c r="X18">
        <f t="shared" ref="X18:X20" si="75">EXP((LN(2)*+D18))</f>
        <v>0.25</v>
      </c>
      <c r="Y18">
        <f t="shared" ref="Y18:Y20" si="76">EXP((LN(2)*+E18))</f>
        <v>1</v>
      </c>
      <c r="Z18">
        <f t="shared" ref="Z18:Z20" si="77">EXP((LN(2)*+F18))</f>
        <v>1.5625000000000007E-2</v>
      </c>
      <c r="AA18">
        <f t="shared" ref="AA18:AA20" si="78">EXP((LN(2)*+G18))</f>
        <v>3.9062500000000009E-3</v>
      </c>
      <c r="AB18" s="68">
        <f t="shared" si="64"/>
        <v>6.2500000000000014E-2</v>
      </c>
      <c r="AD18" t="s">
        <v>30</v>
      </c>
      <c r="AE18">
        <f t="shared" ref="AE18:AE20" si="79">EXP((LN(2.7)*+D18))</f>
        <v>0.1371742112482853</v>
      </c>
      <c r="AF18">
        <f t="shared" ref="AF18:AF20" si="80">EXP((LN(2.7)*+E18))</f>
        <v>1</v>
      </c>
      <c r="AG18">
        <f t="shared" ref="AG18:AG20" si="81">EXP((LN(2.7)*+F18))</f>
        <v>2.5811747917131953E-3</v>
      </c>
      <c r="AH18">
        <f t="shared" ref="AH18:AH20" si="82">EXP((LN(2.7)*+G18))</f>
        <v>3.540706161472148E-4</v>
      </c>
      <c r="AI18" s="68">
        <f t="shared" si="66"/>
        <v>1.8816764231589202E-2</v>
      </c>
      <c r="AS18" s="2">
        <f t="shared" si="52"/>
        <v>1</v>
      </c>
      <c r="AT18" s="2">
        <f t="shared" si="53"/>
        <v>1</v>
      </c>
      <c r="AU18" s="2">
        <f t="shared" si="54"/>
        <v>1</v>
      </c>
      <c r="AV18" s="2">
        <f t="shared" si="55"/>
        <v>1</v>
      </c>
      <c r="AW18" s="2">
        <f t="shared" si="56"/>
        <v>1</v>
      </c>
      <c r="AX18" s="2">
        <f t="shared" si="57"/>
        <v>1</v>
      </c>
      <c r="AY18" s="62">
        <f t="shared" si="58"/>
        <v>1</v>
      </c>
      <c r="AZ18" s="2">
        <f t="shared" si="59"/>
        <v>0.16666666666666666</v>
      </c>
    </row>
    <row r="19" spans="2:55" x14ac:dyDescent="0.3">
      <c r="C19" s="63" t="s">
        <v>35</v>
      </c>
      <c r="D19" s="61">
        <f>'MCDA - Environment'!AC23</f>
        <v>4</v>
      </c>
      <c r="E19" s="61">
        <f>'MCDA - Environment'!AD23</f>
        <v>6</v>
      </c>
      <c r="F19" s="61">
        <f>'MCDA - Environment'!AE23</f>
        <v>0</v>
      </c>
      <c r="G19" s="61">
        <f>'MCDA - Environment'!AF23</f>
        <v>-4</v>
      </c>
      <c r="I19" t="s">
        <v>35</v>
      </c>
      <c r="J19">
        <f t="shared" si="67"/>
        <v>1</v>
      </c>
      <c r="K19">
        <f t="shared" si="68"/>
        <v>1</v>
      </c>
      <c r="L19">
        <f t="shared" si="69"/>
        <v>1</v>
      </c>
      <c r="M19">
        <f t="shared" si="70"/>
        <v>1</v>
      </c>
      <c r="N19" s="68">
        <f t="shared" si="9"/>
        <v>1</v>
      </c>
      <c r="P19" t="s">
        <v>35</v>
      </c>
      <c r="Q19">
        <f t="shared" si="71"/>
        <v>8.3521000000000001</v>
      </c>
      <c r="R19">
        <f t="shared" si="72"/>
        <v>24.137569000000003</v>
      </c>
      <c r="S19">
        <f t="shared" si="73"/>
        <v>1</v>
      </c>
      <c r="T19">
        <f t="shared" si="74"/>
        <v>0.11973036721303625</v>
      </c>
      <c r="U19" s="68">
        <f t="shared" si="62"/>
        <v>2.2165288177689004</v>
      </c>
      <c r="W19" t="s">
        <v>35</v>
      </c>
      <c r="X19">
        <f t="shared" si="75"/>
        <v>15.999999999999998</v>
      </c>
      <c r="Y19">
        <f t="shared" si="76"/>
        <v>63.999999999999979</v>
      </c>
      <c r="Z19">
        <f t="shared" si="77"/>
        <v>1</v>
      </c>
      <c r="AA19">
        <f t="shared" si="78"/>
        <v>6.25E-2</v>
      </c>
      <c r="AB19" s="68">
        <f t="shared" si="64"/>
        <v>2.8284271247461898</v>
      </c>
      <c r="AD19" t="s">
        <v>35</v>
      </c>
      <c r="AE19">
        <f t="shared" si="79"/>
        <v>53.144100000000009</v>
      </c>
      <c r="AF19">
        <f t="shared" si="80"/>
        <v>387.42048900000032</v>
      </c>
      <c r="AG19">
        <f t="shared" si="81"/>
        <v>1</v>
      </c>
      <c r="AH19">
        <f t="shared" si="82"/>
        <v>1.8816764231589202E-2</v>
      </c>
      <c r="AI19" s="68">
        <f t="shared" si="66"/>
        <v>4.4365527157918461</v>
      </c>
      <c r="AS19" s="2">
        <f t="shared" si="52"/>
        <v>1</v>
      </c>
      <c r="AT19" s="2">
        <f t="shared" si="53"/>
        <v>1</v>
      </c>
      <c r="AU19" s="2">
        <f t="shared" si="54"/>
        <v>1</v>
      </c>
      <c r="AV19" s="2">
        <f t="shared" si="55"/>
        <v>1</v>
      </c>
      <c r="AW19" s="2">
        <f t="shared" si="56"/>
        <v>1</v>
      </c>
      <c r="AX19" s="2">
        <f t="shared" si="57"/>
        <v>1</v>
      </c>
      <c r="AY19" s="62">
        <f t="shared" si="58"/>
        <v>1</v>
      </c>
      <c r="AZ19" s="2">
        <f t="shared" si="59"/>
        <v>0.16666666666666666</v>
      </c>
    </row>
    <row r="20" spans="2:55" x14ac:dyDescent="0.3">
      <c r="C20" s="63" t="s">
        <v>36</v>
      </c>
      <c r="D20" s="61">
        <f>'MCDA - Environment'!AC24</f>
        <v>6</v>
      </c>
      <c r="E20" s="61">
        <f>'MCDA - Environment'!AD24</f>
        <v>8</v>
      </c>
      <c r="F20" s="61">
        <f>'MCDA - Environment'!AE24</f>
        <v>4</v>
      </c>
      <c r="G20" s="61">
        <f>'MCDA - Environment'!AF24</f>
        <v>0</v>
      </c>
      <c r="I20" t="s">
        <v>36</v>
      </c>
      <c r="J20">
        <f t="shared" si="67"/>
        <v>1</v>
      </c>
      <c r="K20">
        <f t="shared" si="68"/>
        <v>1</v>
      </c>
      <c r="L20">
        <f t="shared" si="69"/>
        <v>1</v>
      </c>
      <c r="M20">
        <f t="shared" si="70"/>
        <v>1</v>
      </c>
      <c r="N20" s="68">
        <f t="shared" si="9"/>
        <v>1</v>
      </c>
      <c r="P20" t="s">
        <v>36</v>
      </c>
      <c r="Q20">
        <f t="shared" si="71"/>
        <v>24.137569000000003</v>
      </c>
      <c r="R20">
        <f t="shared" si="72"/>
        <v>69.757574409999989</v>
      </c>
      <c r="S20">
        <f t="shared" si="73"/>
        <v>8.3521000000000001</v>
      </c>
      <c r="T20">
        <f t="shared" si="74"/>
        <v>1</v>
      </c>
      <c r="U20" s="68">
        <f t="shared" si="62"/>
        <v>10.889806081698609</v>
      </c>
      <c r="W20" t="s">
        <v>36</v>
      </c>
      <c r="X20">
        <f t="shared" si="75"/>
        <v>63.999999999999979</v>
      </c>
      <c r="Y20">
        <f t="shared" si="76"/>
        <v>255.99999999999994</v>
      </c>
      <c r="Z20">
        <f t="shared" si="77"/>
        <v>15.999999999999998</v>
      </c>
      <c r="AA20">
        <f t="shared" si="78"/>
        <v>1</v>
      </c>
      <c r="AB20" s="68">
        <f t="shared" si="64"/>
        <v>22.627416997969515</v>
      </c>
      <c r="AD20" t="s">
        <v>36</v>
      </c>
      <c r="AE20">
        <f t="shared" si="79"/>
        <v>387.42048900000032</v>
      </c>
      <c r="AF20">
        <f t="shared" si="80"/>
        <v>2824.295364810001</v>
      </c>
      <c r="AG20">
        <f t="shared" si="81"/>
        <v>53.144100000000009</v>
      </c>
      <c r="AH20">
        <f t="shared" si="82"/>
        <v>1</v>
      </c>
      <c r="AI20" s="68">
        <f t="shared" si="66"/>
        <v>87.324667104930924</v>
      </c>
    </row>
    <row r="22" spans="2:55" x14ac:dyDescent="0.3">
      <c r="B22" s="44" t="s">
        <v>160</v>
      </c>
      <c r="C22" s="63"/>
      <c r="D22" s="63" t="s">
        <v>27</v>
      </c>
      <c r="E22" s="63" t="s">
        <v>30</v>
      </c>
      <c r="F22" s="63" t="s">
        <v>35</v>
      </c>
      <c r="G22" s="63" t="s">
        <v>36</v>
      </c>
      <c r="J22" t="s">
        <v>27</v>
      </c>
      <c r="K22" t="s">
        <v>30</v>
      </c>
      <c r="L22" t="s">
        <v>35</v>
      </c>
      <c r="M22" t="s">
        <v>36</v>
      </c>
      <c r="Q22" t="s">
        <v>27</v>
      </c>
      <c r="R22" t="s">
        <v>30</v>
      </c>
      <c r="S22" t="s">
        <v>35</v>
      </c>
      <c r="T22" t="s">
        <v>36</v>
      </c>
      <c r="X22" t="s">
        <v>27</v>
      </c>
      <c r="Y22" t="s">
        <v>30</v>
      </c>
      <c r="Z22" t="s">
        <v>35</v>
      </c>
      <c r="AA22" t="s">
        <v>36</v>
      </c>
      <c r="AE22" t="s">
        <v>27</v>
      </c>
      <c r="AF22" t="s">
        <v>30</v>
      </c>
      <c r="AG22" t="s">
        <v>35</v>
      </c>
      <c r="AH22" t="s">
        <v>36</v>
      </c>
      <c r="AR22" t="s">
        <v>243</v>
      </c>
      <c r="AS22" s="2"/>
      <c r="AT22" s="2"/>
      <c r="AU22" s="2"/>
      <c r="AV22" s="2"/>
      <c r="AW22" s="2"/>
      <c r="AX22" s="2"/>
      <c r="AY22" s="65" t="s">
        <v>230</v>
      </c>
      <c r="AZ22" s="69" t="s">
        <v>0</v>
      </c>
      <c r="BB22" t="s">
        <v>243</v>
      </c>
      <c r="BC22" t="s">
        <v>247</v>
      </c>
    </row>
    <row r="23" spans="2:55" x14ac:dyDescent="0.3">
      <c r="C23" s="63" t="s">
        <v>27</v>
      </c>
      <c r="D23" s="61">
        <f>'MCDA - Environment'!AC30</f>
        <v>0</v>
      </c>
      <c r="E23" s="61">
        <f>'MCDA - Environment'!AD30</f>
        <v>6</v>
      </c>
      <c r="F23" s="61">
        <f>'MCDA - Environment'!AE30</f>
        <v>4</v>
      </c>
      <c r="G23" s="61">
        <f>'MCDA - Environment'!AF30</f>
        <v>4</v>
      </c>
      <c r="I23" t="s">
        <v>27</v>
      </c>
      <c r="J23">
        <f>EXP((LN(1)*+D23))</f>
        <v>1</v>
      </c>
      <c r="K23">
        <f t="shared" ref="K23:M23" si="83">EXP((LN(1)*+E23))</f>
        <v>1</v>
      </c>
      <c r="L23">
        <f t="shared" si="83"/>
        <v>1</v>
      </c>
      <c r="M23">
        <f t="shared" si="83"/>
        <v>1</v>
      </c>
      <c r="N23" s="68">
        <f t="shared" si="9"/>
        <v>1</v>
      </c>
      <c r="P23" t="s">
        <v>27</v>
      </c>
      <c r="Q23">
        <f>EXP((LN(1.7)*+D23))</f>
        <v>1</v>
      </c>
      <c r="R23">
        <f t="shared" ref="R23:T23" si="84">EXP((LN(1.7)*+E23))</f>
        <v>24.137569000000003</v>
      </c>
      <c r="S23">
        <f t="shared" si="84"/>
        <v>8.3521000000000001</v>
      </c>
      <c r="T23">
        <f t="shared" si="84"/>
        <v>8.3521000000000001</v>
      </c>
      <c r="U23" s="68">
        <f t="shared" ref="U23:U26" si="85">GEOMEAN(Q23:T23)</f>
        <v>6.4057682833521232</v>
      </c>
      <c r="W23" t="s">
        <v>27</v>
      </c>
      <c r="X23">
        <f>EXP((LN(2)*+D23))</f>
        <v>1</v>
      </c>
      <c r="Y23">
        <f t="shared" ref="Y23:AA23" si="86">EXP((LN(2)*+E23))</f>
        <v>63.999999999999979</v>
      </c>
      <c r="Z23">
        <f t="shared" si="86"/>
        <v>15.999999999999998</v>
      </c>
      <c r="AA23">
        <f t="shared" si="86"/>
        <v>15.999999999999998</v>
      </c>
      <c r="AB23" s="68">
        <f t="shared" ref="AB23:AB26" si="87">GEOMEAN(X23:AA23)</f>
        <v>11.313708498984759</v>
      </c>
      <c r="AD23" t="s">
        <v>27</v>
      </c>
      <c r="AE23">
        <f>EXP((LN(2.7)*+D23))</f>
        <v>1</v>
      </c>
      <c r="AF23">
        <f t="shared" ref="AF23:AH23" si="88">EXP((LN(2.7)*+E23))</f>
        <v>387.42048900000032</v>
      </c>
      <c r="AG23">
        <f t="shared" si="88"/>
        <v>53.144100000000009</v>
      </c>
      <c r="AH23">
        <f t="shared" si="88"/>
        <v>53.144100000000009</v>
      </c>
      <c r="AI23" s="68">
        <f t="shared" ref="AI23:AI26" si="89">GEOMEAN(AE23:AH23)</f>
        <v>32.342469298122566</v>
      </c>
      <c r="AS23" s="2">
        <f>EXP(LN(1.7^0.5)*AM5)</f>
        <v>1</v>
      </c>
      <c r="AT23" s="2">
        <f t="shared" ref="AT23:AX23" si="90">EXP(LN(1.7^0.5)*AN5)</f>
        <v>1.7</v>
      </c>
      <c r="AU23" s="2">
        <f t="shared" si="90"/>
        <v>2.8899999999999997</v>
      </c>
      <c r="AV23" s="2">
        <f t="shared" si="90"/>
        <v>4.9130000000000003</v>
      </c>
      <c r="AW23" s="2">
        <f t="shared" si="90"/>
        <v>4.9130000000000003</v>
      </c>
      <c r="AX23" s="2">
        <f t="shared" si="90"/>
        <v>4.9130000000000003</v>
      </c>
      <c r="AY23" s="62">
        <f>GEOMEAN(AS23:AX23)</f>
        <v>2.89</v>
      </c>
      <c r="AZ23" s="2">
        <f>AY23/SUM($AY$23:$AY$28)</f>
        <v>0.38633462212352787</v>
      </c>
      <c r="BB23" t="s">
        <v>27</v>
      </c>
      <c r="BC23">
        <f>'MCDA - REMBRANDT'!AU10^$AZ$23*'MCDA - REMBRANDT'!AU28^$AZ$24*'MCDA - REMBRANDT'!AJ10^$AZ$25*'MCDA - REMBRANDT'!AJ28^$AZ$26*'MCDA - REMBRANDT'!Y10^$AZ$27*'MCDA - REMBRANDT'!Y28^$AZ$28</f>
        <v>0.94954523916677247</v>
      </c>
    </row>
    <row r="24" spans="2:55" x14ac:dyDescent="0.3">
      <c r="C24" s="63" t="s">
        <v>30</v>
      </c>
      <c r="D24" s="61">
        <f>'MCDA - Environment'!AC31</f>
        <v>-6</v>
      </c>
      <c r="E24" s="61">
        <f>'MCDA - Environment'!AD31</f>
        <v>0</v>
      </c>
      <c r="F24" s="61">
        <f>'MCDA - Environment'!AE31</f>
        <v>-4</v>
      </c>
      <c r="G24" s="61">
        <f>'MCDA - Environment'!AF31</f>
        <v>-2</v>
      </c>
      <c r="I24" t="s">
        <v>30</v>
      </c>
      <c r="J24">
        <f t="shared" ref="J24:J26" si="91">EXP((LN(1)*+D24))</f>
        <v>1</v>
      </c>
      <c r="K24">
        <f t="shared" ref="K24:K26" si="92">EXP((LN(1)*+E24))</f>
        <v>1</v>
      </c>
      <c r="L24">
        <f t="shared" ref="L24:L26" si="93">EXP((LN(1)*+F24))</f>
        <v>1</v>
      </c>
      <c r="M24">
        <f t="shared" ref="M24:M26" si="94">EXP((LN(1)*+G24))</f>
        <v>1</v>
      </c>
      <c r="N24" s="68">
        <f t="shared" si="9"/>
        <v>1</v>
      </c>
      <c r="P24" t="s">
        <v>30</v>
      </c>
      <c r="Q24">
        <f t="shared" ref="Q24:Q26" si="95">EXP((LN(1.7)*+D24))</f>
        <v>4.1429192807278969E-2</v>
      </c>
      <c r="R24">
        <f t="shared" ref="R24:R26" si="96">EXP((LN(1.7)*+E24))</f>
        <v>1</v>
      </c>
      <c r="S24">
        <f t="shared" ref="S24:S26" si="97">EXP((LN(1.7)*+F24))</f>
        <v>0.11973036721303625</v>
      </c>
      <c r="T24">
        <f t="shared" ref="T24:T26" si="98">EXP((LN(1.7)*+G24))</f>
        <v>0.34602076124567477</v>
      </c>
      <c r="U24" s="68">
        <f t="shared" si="85"/>
        <v>0.2035416242621616</v>
      </c>
      <c r="W24" t="s">
        <v>30</v>
      </c>
      <c r="X24">
        <f t="shared" ref="X24:X26" si="99">EXP((LN(2)*+D24))</f>
        <v>1.5625000000000007E-2</v>
      </c>
      <c r="Y24">
        <f t="shared" ref="Y24:Y26" si="100">EXP((LN(2)*+E24))</f>
        <v>1</v>
      </c>
      <c r="Z24">
        <f t="shared" ref="Z24:Z26" si="101">EXP((LN(2)*+F24))</f>
        <v>6.25E-2</v>
      </c>
      <c r="AA24">
        <f t="shared" ref="AA24:AA26" si="102">EXP((LN(2)*+G24))</f>
        <v>0.25</v>
      </c>
      <c r="AB24" s="68">
        <f t="shared" si="87"/>
        <v>0.125</v>
      </c>
      <c r="AD24" t="s">
        <v>30</v>
      </c>
      <c r="AE24">
        <f t="shared" ref="AE24:AE26" si="103">EXP((LN(2.7)*+D24))</f>
        <v>2.5811747917131953E-3</v>
      </c>
      <c r="AF24">
        <f t="shared" ref="AF24:AF26" si="104">EXP((LN(2.7)*+E24))</f>
        <v>1</v>
      </c>
      <c r="AG24">
        <f t="shared" ref="AG24:AG26" si="105">EXP((LN(2.7)*+F24))</f>
        <v>1.8816764231589202E-2</v>
      </c>
      <c r="AH24">
        <f t="shared" ref="AH24:AH26" si="106">EXP((LN(2.7)*+G24))</f>
        <v>0.1371742112482853</v>
      </c>
      <c r="AI24" s="68">
        <f t="shared" si="89"/>
        <v>5.0805263425290847E-2</v>
      </c>
      <c r="AS24" s="2">
        <f t="shared" ref="AS24:AS28" si="107">EXP(LN(1.7^0.5)*AM6)</f>
        <v>0.58823529411764708</v>
      </c>
      <c r="AT24" s="2">
        <f t="shared" ref="AT24:AT28" si="108">EXP(LN(1.7^0.5)*AN6)</f>
        <v>1</v>
      </c>
      <c r="AU24" s="2">
        <f t="shared" ref="AU24:AU28" si="109">EXP(LN(1.7^0.5)*AO6)</f>
        <v>1.7</v>
      </c>
      <c r="AV24" s="2">
        <f t="shared" ref="AV24:AV28" si="110">EXP(LN(1.7^0.5)*AP6)</f>
        <v>2.8899999999999997</v>
      </c>
      <c r="AW24" s="2">
        <f t="shared" ref="AW24:AW28" si="111">EXP(LN(1.7^0.5)*AQ6)</f>
        <v>2.8899999999999997</v>
      </c>
      <c r="AX24" s="2">
        <f t="shared" ref="AX24:AX28" si="112">EXP(LN(1.7^0.5)*AR6)</f>
        <v>4.9130000000000003</v>
      </c>
      <c r="AY24" s="62">
        <f t="shared" ref="AY24:AY28" si="113">GEOMEAN(AS24:AX24)</f>
        <v>1.857193157609085</v>
      </c>
      <c r="AZ24" s="2">
        <f t="shared" ref="AZ24:AZ28" si="114">AY24/SUM($AY$23:$AY$28)</f>
        <v>0.24826920994993334</v>
      </c>
      <c r="BB24" t="s">
        <v>30</v>
      </c>
      <c r="BC24">
        <f>'MCDA - REMBRANDT'!AU11^$AZ$23*'MCDA - REMBRANDT'!AU29^$AZ$24*'MCDA - REMBRANDT'!AJ11^$AZ$25*'MCDA - REMBRANDT'!AJ29^$AZ$26*'MCDA - REMBRANDT'!Y11^$AZ$27*'MCDA - REMBRANDT'!Y29^$AZ$28</f>
        <v>8.273758297147496E-2</v>
      </c>
    </row>
    <row r="25" spans="2:55" x14ac:dyDescent="0.3">
      <c r="C25" s="63" t="s">
        <v>35</v>
      </c>
      <c r="D25" s="61">
        <f>'MCDA - Environment'!AC32</f>
        <v>-4</v>
      </c>
      <c r="E25" s="61">
        <f>'MCDA - Environment'!AD32</f>
        <v>4</v>
      </c>
      <c r="F25" s="61">
        <f>'MCDA - Environment'!AE32</f>
        <v>0</v>
      </c>
      <c r="G25" s="61">
        <f>'MCDA - Environment'!AF32</f>
        <v>2</v>
      </c>
      <c r="I25" t="s">
        <v>35</v>
      </c>
      <c r="J25">
        <f t="shared" si="91"/>
        <v>1</v>
      </c>
      <c r="K25">
        <f t="shared" si="92"/>
        <v>1</v>
      </c>
      <c r="L25">
        <f t="shared" si="93"/>
        <v>1</v>
      </c>
      <c r="M25">
        <f t="shared" si="94"/>
        <v>1</v>
      </c>
      <c r="N25" s="68">
        <f t="shared" si="9"/>
        <v>1</v>
      </c>
      <c r="P25" t="s">
        <v>35</v>
      </c>
      <c r="Q25">
        <f t="shared" si="95"/>
        <v>0.11973036721303625</v>
      </c>
      <c r="R25">
        <f t="shared" si="96"/>
        <v>8.3521000000000001</v>
      </c>
      <c r="S25">
        <f t="shared" si="97"/>
        <v>1</v>
      </c>
      <c r="T25">
        <f t="shared" si="98"/>
        <v>2.8899999999999997</v>
      </c>
      <c r="U25" s="68">
        <f t="shared" si="85"/>
        <v>1.3038404810405297</v>
      </c>
      <c r="W25" t="s">
        <v>35</v>
      </c>
      <c r="X25">
        <f t="shared" si="99"/>
        <v>6.25E-2</v>
      </c>
      <c r="Y25">
        <f t="shared" si="100"/>
        <v>15.999999999999998</v>
      </c>
      <c r="Z25">
        <f t="shared" si="101"/>
        <v>1</v>
      </c>
      <c r="AA25">
        <f t="shared" si="102"/>
        <v>4</v>
      </c>
      <c r="AB25" s="68">
        <f t="shared" si="87"/>
        <v>1.4142135623730949</v>
      </c>
      <c r="AD25" t="s">
        <v>35</v>
      </c>
      <c r="AE25">
        <f t="shared" si="103"/>
        <v>1.8816764231589202E-2</v>
      </c>
      <c r="AF25">
        <f t="shared" si="104"/>
        <v>53.144100000000009</v>
      </c>
      <c r="AG25">
        <f t="shared" si="105"/>
        <v>1</v>
      </c>
      <c r="AH25">
        <f t="shared" si="106"/>
        <v>7.2900000000000009</v>
      </c>
      <c r="AI25" s="68">
        <f t="shared" si="89"/>
        <v>1.6431676725154984</v>
      </c>
      <c r="AS25" s="2">
        <f t="shared" si="107"/>
        <v>0.34602076124567477</v>
      </c>
      <c r="AT25" s="2">
        <f t="shared" si="108"/>
        <v>0.58823529411764708</v>
      </c>
      <c r="AU25" s="2">
        <f t="shared" si="109"/>
        <v>1</v>
      </c>
      <c r="AV25" s="2">
        <f t="shared" si="110"/>
        <v>1.7</v>
      </c>
      <c r="AW25" s="2">
        <f t="shared" si="111"/>
        <v>1.7</v>
      </c>
      <c r="AX25" s="2">
        <f t="shared" si="112"/>
        <v>1.7</v>
      </c>
      <c r="AY25" s="62">
        <f t="shared" si="113"/>
        <v>1</v>
      </c>
      <c r="AZ25" s="2">
        <f t="shared" si="114"/>
        <v>0.13367980004274321</v>
      </c>
      <c r="BB25" t="s">
        <v>35</v>
      </c>
      <c r="BC25">
        <f>'MCDA - REMBRANDT'!AU12^$AZ$23*'MCDA - REMBRANDT'!AU30^$AZ$24*'MCDA - REMBRANDT'!AJ12^$AZ$25*'MCDA - REMBRANDT'!AJ30^$AZ$26*'MCDA - REMBRANDT'!Y12^$AZ$27*'MCDA - REMBRANDT'!Y30^$AZ$28</f>
        <v>4.0083770837049277</v>
      </c>
    </row>
    <row r="26" spans="2:55" x14ac:dyDescent="0.3">
      <c r="C26" s="63" t="s">
        <v>36</v>
      </c>
      <c r="D26" s="61">
        <f>'MCDA - Environment'!AC33</f>
        <v>-4</v>
      </c>
      <c r="E26" s="61">
        <f>'MCDA - Environment'!AD33</f>
        <v>2</v>
      </c>
      <c r="F26" s="61">
        <f>'MCDA - Environment'!AE33</f>
        <v>-2</v>
      </c>
      <c r="G26" s="61">
        <f>'MCDA - Environment'!AF33</f>
        <v>0</v>
      </c>
      <c r="I26" t="s">
        <v>36</v>
      </c>
      <c r="J26">
        <f t="shared" si="91"/>
        <v>1</v>
      </c>
      <c r="K26">
        <f t="shared" si="92"/>
        <v>1</v>
      </c>
      <c r="L26">
        <f t="shared" si="93"/>
        <v>1</v>
      </c>
      <c r="M26">
        <f t="shared" si="94"/>
        <v>1</v>
      </c>
      <c r="N26" s="68">
        <f t="shared" si="9"/>
        <v>1</v>
      </c>
      <c r="P26" t="s">
        <v>36</v>
      </c>
      <c r="Q26">
        <f t="shared" si="95"/>
        <v>0.11973036721303625</v>
      </c>
      <c r="R26">
        <f t="shared" si="96"/>
        <v>2.8899999999999997</v>
      </c>
      <c r="S26">
        <f t="shared" si="97"/>
        <v>0.34602076124567477</v>
      </c>
      <c r="T26">
        <f t="shared" si="98"/>
        <v>1</v>
      </c>
      <c r="U26" s="68">
        <f t="shared" si="85"/>
        <v>0.58823529411764708</v>
      </c>
      <c r="W26" t="s">
        <v>36</v>
      </c>
      <c r="X26">
        <f t="shared" si="99"/>
        <v>6.25E-2</v>
      </c>
      <c r="Y26">
        <f t="shared" si="100"/>
        <v>4</v>
      </c>
      <c r="Z26">
        <f t="shared" si="101"/>
        <v>0.25</v>
      </c>
      <c r="AA26">
        <f t="shared" si="102"/>
        <v>1</v>
      </c>
      <c r="AB26" s="68">
        <f t="shared" si="87"/>
        <v>0.5</v>
      </c>
      <c r="AD26" t="s">
        <v>36</v>
      </c>
      <c r="AE26">
        <f t="shared" si="103"/>
        <v>1.8816764231589202E-2</v>
      </c>
      <c r="AF26">
        <f t="shared" si="104"/>
        <v>7.2900000000000009</v>
      </c>
      <c r="AG26">
        <f t="shared" si="105"/>
        <v>0.1371742112482853</v>
      </c>
      <c r="AH26">
        <f t="shared" si="106"/>
        <v>1</v>
      </c>
      <c r="AI26" s="68">
        <f t="shared" si="89"/>
        <v>0.37037037037037035</v>
      </c>
      <c r="AS26" s="2">
        <f t="shared" si="107"/>
        <v>0.2035416242621616</v>
      </c>
      <c r="AT26" s="2">
        <f t="shared" si="108"/>
        <v>0.34602076124567477</v>
      </c>
      <c r="AU26" s="2">
        <f t="shared" si="109"/>
        <v>0.58823529411764708</v>
      </c>
      <c r="AV26" s="2">
        <f t="shared" si="110"/>
        <v>1</v>
      </c>
      <c r="AW26" s="2">
        <f t="shared" si="111"/>
        <v>1.7</v>
      </c>
      <c r="AX26" s="2">
        <f t="shared" si="112"/>
        <v>1.7</v>
      </c>
      <c r="AY26" s="62">
        <f t="shared" si="113"/>
        <v>0.70204893642784527</v>
      </c>
      <c r="AZ26" s="2">
        <f t="shared" si="114"/>
        <v>9.3849761441894886E-2</v>
      </c>
      <c r="BB26" t="s">
        <v>36</v>
      </c>
      <c r="BC26">
        <f>'MCDA - REMBRANDT'!AU13^$AZ$23*'MCDA - REMBRANDT'!AU31^$AZ$24*'MCDA - REMBRANDT'!AJ13^$AZ$25*'MCDA - REMBRANDT'!AJ31^$AZ$26*'MCDA - REMBRANDT'!Y13^$AZ$27*'MCDA - REMBRANDT'!Y31^$AZ$28</f>
        <v>3.1755060110487756</v>
      </c>
    </row>
    <row r="27" spans="2:55" x14ac:dyDescent="0.3">
      <c r="AS27" s="2">
        <f t="shared" si="107"/>
        <v>0.2035416242621616</v>
      </c>
      <c r="AT27" s="2">
        <f t="shared" si="108"/>
        <v>0.34602076124567477</v>
      </c>
      <c r="AU27" s="2">
        <f t="shared" si="109"/>
        <v>0.58823529411764708</v>
      </c>
      <c r="AV27" s="2">
        <f t="shared" si="110"/>
        <v>0.58823529411764708</v>
      </c>
      <c r="AW27" s="2">
        <f t="shared" si="111"/>
        <v>1</v>
      </c>
      <c r="AX27" s="2">
        <f t="shared" si="112"/>
        <v>1</v>
      </c>
      <c r="AY27" s="62">
        <f t="shared" si="113"/>
        <v>0.53844695469769066</v>
      </c>
      <c r="AZ27" s="2">
        <f t="shared" si="114"/>
        <v>7.197948123761129E-2</v>
      </c>
    </row>
    <row r="28" spans="2:55" x14ac:dyDescent="0.3">
      <c r="B28" s="44" t="s">
        <v>71</v>
      </c>
      <c r="C28" s="47"/>
      <c r="D28" s="47" t="s">
        <v>27</v>
      </c>
      <c r="E28" s="47" t="s">
        <v>30</v>
      </c>
      <c r="F28" s="47" t="s">
        <v>35</v>
      </c>
      <c r="G28" s="47" t="s">
        <v>36</v>
      </c>
      <c r="J28" t="s">
        <v>27</v>
      </c>
      <c r="K28" t="s">
        <v>30</v>
      </c>
      <c r="L28" t="s">
        <v>35</v>
      </c>
      <c r="M28" t="s">
        <v>36</v>
      </c>
      <c r="Q28" t="s">
        <v>27</v>
      </c>
      <c r="R28" t="s">
        <v>30</v>
      </c>
      <c r="S28" t="s">
        <v>35</v>
      </c>
      <c r="T28" t="s">
        <v>36</v>
      </c>
      <c r="X28" t="s">
        <v>27</v>
      </c>
      <c r="Y28" t="s">
        <v>30</v>
      </c>
      <c r="Z28" t="s">
        <v>35</v>
      </c>
      <c r="AA28" t="s">
        <v>36</v>
      </c>
      <c r="AE28" t="s">
        <v>27</v>
      </c>
      <c r="AF28" t="s">
        <v>30</v>
      </c>
      <c r="AG28" t="s">
        <v>35</v>
      </c>
      <c r="AH28" t="s">
        <v>36</v>
      </c>
      <c r="AS28" s="2">
        <f t="shared" si="107"/>
        <v>0.2035416242621616</v>
      </c>
      <c r="AT28" s="2">
        <f t="shared" si="108"/>
        <v>0.2035416242621616</v>
      </c>
      <c r="AU28" s="2">
        <f t="shared" si="109"/>
        <v>0.58823529411764708</v>
      </c>
      <c r="AV28" s="2">
        <f t="shared" si="110"/>
        <v>0.58823529411764708</v>
      </c>
      <c r="AW28" s="2">
        <f t="shared" si="111"/>
        <v>1</v>
      </c>
      <c r="AX28" s="2">
        <f t="shared" si="112"/>
        <v>1</v>
      </c>
      <c r="AY28" s="62">
        <f t="shared" si="113"/>
        <v>0.49287270913946868</v>
      </c>
      <c r="AZ28" s="2">
        <f t="shared" si="114"/>
        <v>6.5887125204289299E-2</v>
      </c>
    </row>
    <row r="29" spans="2:55" x14ac:dyDescent="0.3">
      <c r="C29" s="47" t="s">
        <v>27</v>
      </c>
      <c r="D29" s="2">
        <f>'MCDA - Social'!J20</f>
        <v>0</v>
      </c>
      <c r="E29" s="2">
        <f>'MCDA - Social'!K20</f>
        <v>4</v>
      </c>
      <c r="F29" s="2">
        <f>'MCDA - Social'!L20</f>
        <v>-4</v>
      </c>
      <c r="G29" s="2">
        <f>'MCDA - Social'!M20</f>
        <v>6</v>
      </c>
      <c r="I29" t="s">
        <v>27</v>
      </c>
      <c r="J29">
        <f>EXP((LN(1)*+D29))</f>
        <v>1</v>
      </c>
      <c r="K29">
        <f t="shared" ref="K29:M29" si="115">EXP((LN(1)*+E29))</f>
        <v>1</v>
      </c>
      <c r="L29">
        <f t="shared" si="115"/>
        <v>1</v>
      </c>
      <c r="M29">
        <f t="shared" si="115"/>
        <v>1</v>
      </c>
      <c r="N29" s="68">
        <f t="shared" si="9"/>
        <v>1</v>
      </c>
      <c r="P29" t="s">
        <v>27</v>
      </c>
      <c r="Q29">
        <f>EXP((LN(1.7)*+D29))</f>
        <v>1</v>
      </c>
      <c r="R29">
        <f t="shared" ref="R29:T29" si="116">EXP((LN(1.7)*+E29))</f>
        <v>8.3521000000000001</v>
      </c>
      <c r="S29">
        <f t="shared" si="116"/>
        <v>0.11973036721303625</v>
      </c>
      <c r="T29">
        <f t="shared" si="116"/>
        <v>24.137569000000003</v>
      </c>
      <c r="U29" s="68">
        <f t="shared" ref="U29:U32" si="117">GEOMEAN(Q29:T29)</f>
        <v>2.2165288177689004</v>
      </c>
      <c r="W29" t="s">
        <v>27</v>
      </c>
      <c r="X29">
        <f>EXP((LN(2)*+D29))</f>
        <v>1</v>
      </c>
      <c r="Y29">
        <f t="shared" ref="Y29:AA29" si="118">EXP((LN(2)*+E29))</f>
        <v>15.999999999999998</v>
      </c>
      <c r="Z29">
        <f t="shared" si="118"/>
        <v>6.25E-2</v>
      </c>
      <c r="AA29">
        <f t="shared" si="118"/>
        <v>63.999999999999979</v>
      </c>
      <c r="AB29" s="68">
        <f t="shared" ref="AB29:AB32" si="119">GEOMEAN(X29:AA29)</f>
        <v>2.8284271247461898</v>
      </c>
      <c r="AD29" t="s">
        <v>27</v>
      </c>
      <c r="AE29">
        <f>EXP((LN(2.7)*+D29))</f>
        <v>1</v>
      </c>
      <c r="AF29">
        <f t="shared" ref="AF29:AH29" si="120">EXP((LN(2.7)*+E29))</f>
        <v>53.144100000000009</v>
      </c>
      <c r="AG29">
        <f t="shared" si="120"/>
        <v>1.8816764231589202E-2</v>
      </c>
      <c r="AH29">
        <f t="shared" si="120"/>
        <v>387.42048900000032</v>
      </c>
      <c r="AI29" s="68">
        <f t="shared" ref="AI29:AI32" si="121">GEOMEAN(AE29:AH29)</f>
        <v>4.4365527157918461</v>
      </c>
    </row>
    <row r="30" spans="2:55" x14ac:dyDescent="0.3">
      <c r="C30" s="47" t="s">
        <v>30</v>
      </c>
      <c r="D30" s="2">
        <f>'MCDA - Social'!J21</f>
        <v>-4</v>
      </c>
      <c r="E30" s="2">
        <f>'MCDA - Social'!K21</f>
        <v>0</v>
      </c>
      <c r="F30" s="2">
        <f>'MCDA - Social'!L21</f>
        <v>-2</v>
      </c>
      <c r="G30" s="2">
        <f>'MCDA - Social'!M21</f>
        <v>6</v>
      </c>
      <c r="I30" t="s">
        <v>30</v>
      </c>
      <c r="J30">
        <f t="shared" ref="J30:J32" si="122">EXP((LN(1)*+D30))</f>
        <v>1</v>
      </c>
      <c r="K30">
        <f t="shared" ref="K30:K32" si="123">EXP((LN(1)*+E30))</f>
        <v>1</v>
      </c>
      <c r="L30">
        <f t="shared" ref="L30:L32" si="124">EXP((LN(1)*+F30))</f>
        <v>1</v>
      </c>
      <c r="M30">
        <f t="shared" ref="M30:M32" si="125">EXP((LN(1)*+G30))</f>
        <v>1</v>
      </c>
      <c r="N30" s="68">
        <f t="shared" si="9"/>
        <v>1</v>
      </c>
      <c r="P30" t="s">
        <v>30</v>
      </c>
      <c r="Q30">
        <f t="shared" ref="Q30:Q32" si="126">EXP((LN(1.7)*+D30))</f>
        <v>0.11973036721303625</v>
      </c>
      <c r="R30">
        <f t="shared" ref="R30:R32" si="127">EXP((LN(1.7)*+E30))</f>
        <v>1</v>
      </c>
      <c r="S30">
        <f t="shared" ref="S30:S32" si="128">EXP((LN(1.7)*+F30))</f>
        <v>0.34602076124567477</v>
      </c>
      <c r="T30">
        <f t="shared" ref="T30:T32" si="129">EXP((LN(1.7)*+G30))</f>
        <v>24.137569000000003</v>
      </c>
      <c r="U30" s="68">
        <f t="shared" si="117"/>
        <v>1</v>
      </c>
      <c r="W30" t="s">
        <v>30</v>
      </c>
      <c r="X30">
        <f t="shared" ref="X30:X32" si="130">EXP((LN(2)*+D30))</f>
        <v>6.25E-2</v>
      </c>
      <c r="Y30">
        <f t="shared" ref="Y30:Y32" si="131">EXP((LN(2)*+E30))</f>
        <v>1</v>
      </c>
      <c r="Z30">
        <f t="shared" ref="Z30:Z32" si="132">EXP((LN(2)*+F30))</f>
        <v>0.25</v>
      </c>
      <c r="AA30">
        <f t="shared" ref="AA30:AA32" si="133">EXP((LN(2)*+G30))</f>
        <v>63.999999999999979</v>
      </c>
      <c r="AB30" s="68">
        <f t="shared" si="119"/>
        <v>0.99999999999999989</v>
      </c>
      <c r="AD30" t="s">
        <v>30</v>
      </c>
      <c r="AE30">
        <f t="shared" ref="AE30:AE32" si="134">EXP((LN(2.7)*+D30))</f>
        <v>1.8816764231589202E-2</v>
      </c>
      <c r="AF30">
        <f t="shared" ref="AF30:AF32" si="135">EXP((LN(2.7)*+E30))</f>
        <v>1</v>
      </c>
      <c r="AG30">
        <f t="shared" ref="AG30:AG32" si="136">EXP((LN(2.7)*+F30))</f>
        <v>0.1371742112482853</v>
      </c>
      <c r="AH30">
        <f t="shared" ref="AH30:AH32" si="137">EXP((LN(2.7)*+G30))</f>
        <v>387.42048900000032</v>
      </c>
      <c r="AI30" s="68">
        <f t="shared" si="121"/>
        <v>1</v>
      </c>
    </row>
    <row r="31" spans="2:55" x14ac:dyDescent="0.3">
      <c r="C31" s="47" t="s">
        <v>35</v>
      </c>
      <c r="D31" s="2">
        <f>'MCDA - Social'!J22</f>
        <v>4</v>
      </c>
      <c r="E31" s="2">
        <f>'MCDA - Social'!K22</f>
        <v>2</v>
      </c>
      <c r="F31" s="2">
        <f>'MCDA - Social'!L22</f>
        <v>0</v>
      </c>
      <c r="G31" s="2">
        <f>'MCDA - Social'!M22</f>
        <v>6</v>
      </c>
      <c r="I31" t="s">
        <v>35</v>
      </c>
      <c r="J31">
        <f t="shared" si="122"/>
        <v>1</v>
      </c>
      <c r="K31">
        <f t="shared" si="123"/>
        <v>1</v>
      </c>
      <c r="L31">
        <f t="shared" si="124"/>
        <v>1</v>
      </c>
      <c r="M31">
        <f t="shared" si="125"/>
        <v>1</v>
      </c>
      <c r="N31" s="68">
        <f t="shared" si="9"/>
        <v>1</v>
      </c>
      <c r="P31" t="s">
        <v>35</v>
      </c>
      <c r="Q31">
        <f t="shared" si="126"/>
        <v>8.3521000000000001</v>
      </c>
      <c r="R31">
        <f t="shared" si="127"/>
        <v>2.8899999999999997</v>
      </c>
      <c r="S31">
        <f t="shared" si="128"/>
        <v>1</v>
      </c>
      <c r="T31">
        <f t="shared" si="129"/>
        <v>24.137569000000003</v>
      </c>
      <c r="U31" s="68">
        <f t="shared" si="117"/>
        <v>4.9130000000000003</v>
      </c>
      <c r="W31" t="s">
        <v>35</v>
      </c>
      <c r="X31">
        <f t="shared" si="130"/>
        <v>15.999999999999998</v>
      </c>
      <c r="Y31">
        <f t="shared" si="131"/>
        <v>4</v>
      </c>
      <c r="Z31">
        <f t="shared" si="132"/>
        <v>1</v>
      </c>
      <c r="AA31">
        <f t="shared" si="133"/>
        <v>63.999999999999979</v>
      </c>
      <c r="AB31" s="68">
        <f t="shared" si="119"/>
        <v>7.9999999999999991</v>
      </c>
      <c r="AD31" t="s">
        <v>35</v>
      </c>
      <c r="AE31">
        <f t="shared" si="134"/>
        <v>53.144100000000009</v>
      </c>
      <c r="AF31">
        <f t="shared" si="135"/>
        <v>7.2900000000000009</v>
      </c>
      <c r="AG31">
        <f t="shared" si="136"/>
        <v>1</v>
      </c>
      <c r="AH31">
        <f t="shared" si="137"/>
        <v>387.42048900000032</v>
      </c>
      <c r="AI31" s="68">
        <f t="shared" si="121"/>
        <v>19.683000000000003</v>
      </c>
      <c r="AR31" t="s">
        <v>245</v>
      </c>
      <c r="AS31" s="2"/>
      <c r="AT31" s="2"/>
      <c r="AU31" s="2"/>
      <c r="AV31" s="2"/>
      <c r="AW31" s="2"/>
      <c r="AX31" s="2"/>
      <c r="AY31" s="65" t="s">
        <v>230</v>
      </c>
      <c r="AZ31" s="69" t="s">
        <v>0</v>
      </c>
      <c r="BB31" t="s">
        <v>245</v>
      </c>
      <c r="BC31" t="s">
        <v>247</v>
      </c>
    </row>
    <row r="32" spans="2:55" x14ac:dyDescent="0.3">
      <c r="C32" s="47" t="s">
        <v>36</v>
      </c>
      <c r="D32" s="2">
        <f>'MCDA - Social'!J23</f>
        <v>-6</v>
      </c>
      <c r="E32" s="2">
        <f>'MCDA - Social'!K23</f>
        <v>-6</v>
      </c>
      <c r="F32" s="2">
        <f>'MCDA - Social'!L23</f>
        <v>-6</v>
      </c>
      <c r="G32" s="2">
        <f>'MCDA - Social'!M23</f>
        <v>0</v>
      </c>
      <c r="I32" t="s">
        <v>36</v>
      </c>
      <c r="J32">
        <f t="shared" si="122"/>
        <v>1</v>
      </c>
      <c r="K32">
        <f t="shared" si="123"/>
        <v>1</v>
      </c>
      <c r="L32">
        <f t="shared" si="124"/>
        <v>1</v>
      </c>
      <c r="M32">
        <f t="shared" si="125"/>
        <v>1</v>
      </c>
      <c r="N32" s="68">
        <f t="shared" si="9"/>
        <v>1</v>
      </c>
      <c r="P32" t="s">
        <v>36</v>
      </c>
      <c r="Q32">
        <f t="shared" si="126"/>
        <v>4.1429192807278969E-2</v>
      </c>
      <c r="R32">
        <f t="shared" si="127"/>
        <v>4.1429192807278969E-2</v>
      </c>
      <c r="S32">
        <f t="shared" si="128"/>
        <v>4.1429192807278969E-2</v>
      </c>
      <c r="T32">
        <f t="shared" si="129"/>
        <v>1</v>
      </c>
      <c r="U32" s="68">
        <f t="shared" si="117"/>
        <v>9.1828999754237889E-2</v>
      </c>
      <c r="W32" t="s">
        <v>36</v>
      </c>
      <c r="X32">
        <f t="shared" si="130"/>
        <v>1.5625000000000007E-2</v>
      </c>
      <c r="Y32">
        <f t="shared" si="131"/>
        <v>1.5625000000000007E-2</v>
      </c>
      <c r="Z32">
        <f t="shared" si="132"/>
        <v>1.5625000000000007E-2</v>
      </c>
      <c r="AA32">
        <f t="shared" si="133"/>
        <v>1</v>
      </c>
      <c r="AB32" s="68">
        <f t="shared" si="119"/>
        <v>4.4194173824159237E-2</v>
      </c>
      <c r="AD32" t="s">
        <v>36</v>
      </c>
      <c r="AE32">
        <f t="shared" si="134"/>
        <v>2.5811747917131953E-3</v>
      </c>
      <c r="AF32">
        <f t="shared" si="135"/>
        <v>2.5811747917131953E-3</v>
      </c>
      <c r="AG32">
        <f t="shared" si="136"/>
        <v>2.5811747917131953E-3</v>
      </c>
      <c r="AH32">
        <f t="shared" si="137"/>
        <v>1</v>
      </c>
      <c r="AI32" s="68">
        <f t="shared" si="121"/>
        <v>1.1451518032108629E-2</v>
      </c>
      <c r="AS32" s="2">
        <f>EXP(LN(2.7^0.5)*AM5)</f>
        <v>1</v>
      </c>
      <c r="AT32" s="2">
        <f t="shared" ref="AT32:AX32" si="138">EXP(LN(2.7^0.5)*AN5)</f>
        <v>2.7000000000000006</v>
      </c>
      <c r="AU32" s="2">
        <f t="shared" si="138"/>
        <v>7.2900000000000027</v>
      </c>
      <c r="AV32" s="2">
        <f t="shared" si="138"/>
        <v>19.683000000000007</v>
      </c>
      <c r="AW32" s="2">
        <f t="shared" si="138"/>
        <v>19.683000000000007</v>
      </c>
      <c r="AX32" s="2">
        <f t="shared" si="138"/>
        <v>19.683000000000007</v>
      </c>
      <c r="AY32" s="62">
        <f>GEOMEAN(AS32:AX32)</f>
        <v>7.2900000000000009</v>
      </c>
      <c r="AZ32" s="2">
        <f>AY32/SUM($AY$32:$AY$37)</f>
        <v>0.57987550728293624</v>
      </c>
      <c r="BB32" t="s">
        <v>27</v>
      </c>
      <c r="BC32">
        <f>'MCDA - REMBRANDT'!AU10^$AZ$32*'MCDA - REMBRANDT'!AU28^$AZ$33*'MCDA - REMBRANDT'!AJ10^$AZ$34*'MCDA - REMBRANDT'!AJ28^$AZ$35*'MCDA - REMBRANDT'!Y10^$AZ$36*'MCDA - REMBRANDT'!Y28^$AZ$37</f>
        <v>0.72801614141373172</v>
      </c>
    </row>
    <row r="33" spans="2:55" x14ac:dyDescent="0.3">
      <c r="AS33" s="2">
        <f t="shared" ref="AS33:AS37" si="139">EXP(LN(2.7^0.5)*AM6)</f>
        <v>0.37037037037037029</v>
      </c>
      <c r="AT33" s="2">
        <f t="shared" ref="AT33:AT37" si="140">EXP(LN(2.7^0.5)*AN6)</f>
        <v>1</v>
      </c>
      <c r="AU33" s="2">
        <f t="shared" ref="AU33:AU37" si="141">EXP(LN(2.7^0.5)*AO6)</f>
        <v>2.7000000000000006</v>
      </c>
      <c r="AV33" s="2">
        <f t="shared" ref="AV33:AV37" si="142">EXP(LN(2.7^0.5)*AP6)</f>
        <v>7.2900000000000027</v>
      </c>
      <c r="AW33" s="2">
        <f t="shared" ref="AW33:AW37" si="143">EXP(LN(2.7^0.5)*AQ6)</f>
        <v>7.2900000000000027</v>
      </c>
      <c r="AX33" s="2">
        <f t="shared" ref="AX33:AX37" si="144">EXP(LN(2.7^0.5)*AR6)</f>
        <v>19.683000000000007</v>
      </c>
      <c r="AY33" s="62">
        <f t="shared" ref="AY33:AY37" si="145">GEOMEAN(AS33:AX33)</f>
        <v>3.1860876916857062</v>
      </c>
      <c r="AZ33" s="2">
        <f t="shared" ref="AZ33:AZ37" si="146">AY33/SUM($AY$32:$AY$37)</f>
        <v>0.25343404889769111</v>
      </c>
      <c r="BB33" t="s">
        <v>30</v>
      </c>
      <c r="BC33">
        <f>'MCDA - REMBRANDT'!AU11^$AZ$32*'MCDA - REMBRANDT'!AU29^$AZ$33*'MCDA - REMBRANDT'!AJ11^$AZ$34*'MCDA - REMBRANDT'!AJ29^$AZ$35*'MCDA - REMBRANDT'!Y11^$AZ$36*'MCDA - REMBRANDT'!Y29^$AZ$37</f>
        <v>5.7818654895627208E-2</v>
      </c>
    </row>
    <row r="34" spans="2:55" x14ac:dyDescent="0.3">
      <c r="B34" s="44" t="s">
        <v>72</v>
      </c>
      <c r="C34" s="47"/>
      <c r="D34" s="47" t="s">
        <v>27</v>
      </c>
      <c r="E34" s="47" t="s">
        <v>30</v>
      </c>
      <c r="F34" s="47" t="s">
        <v>35</v>
      </c>
      <c r="G34" s="47" t="s">
        <v>36</v>
      </c>
      <c r="J34" t="s">
        <v>27</v>
      </c>
      <c r="K34" t="s">
        <v>30</v>
      </c>
      <c r="L34" t="s">
        <v>35</v>
      </c>
      <c r="M34" t="s">
        <v>36</v>
      </c>
      <c r="Q34" t="s">
        <v>27</v>
      </c>
      <c r="R34" t="s">
        <v>30</v>
      </c>
      <c r="S34" t="s">
        <v>35</v>
      </c>
      <c r="T34" t="s">
        <v>36</v>
      </c>
      <c r="X34" t="s">
        <v>27</v>
      </c>
      <c r="Y34" t="s">
        <v>30</v>
      </c>
      <c r="Z34" t="s">
        <v>35</v>
      </c>
      <c r="AA34" t="s">
        <v>36</v>
      </c>
      <c r="AE34" t="s">
        <v>27</v>
      </c>
      <c r="AF34" t="s">
        <v>30</v>
      </c>
      <c r="AG34" t="s">
        <v>35</v>
      </c>
      <c r="AH34" t="s">
        <v>36</v>
      </c>
      <c r="AS34" s="2">
        <f t="shared" si="139"/>
        <v>0.13717421124828527</v>
      </c>
      <c r="AT34" s="2">
        <f t="shared" si="140"/>
        <v>0.37037037037037029</v>
      </c>
      <c r="AU34" s="2">
        <f t="shared" si="141"/>
        <v>1</v>
      </c>
      <c r="AV34" s="2">
        <f t="shared" si="142"/>
        <v>2.7000000000000006</v>
      </c>
      <c r="AW34" s="2">
        <f t="shared" si="143"/>
        <v>2.7000000000000006</v>
      </c>
      <c r="AX34" s="2">
        <f t="shared" si="144"/>
        <v>2.7000000000000006</v>
      </c>
      <c r="AY34" s="62">
        <f t="shared" si="145"/>
        <v>1</v>
      </c>
      <c r="AZ34" s="2">
        <f t="shared" si="146"/>
        <v>7.9543965333736102E-2</v>
      </c>
      <c r="BB34" t="s">
        <v>35</v>
      </c>
      <c r="BC34">
        <f>'MCDA - REMBRANDT'!AU12^$AZ$32*'MCDA - REMBRANDT'!AU30^$AZ$33*'MCDA - REMBRANDT'!AJ12^$AZ$34*'MCDA - REMBRANDT'!AJ30^$AZ$35*'MCDA - REMBRANDT'!Y12^$AZ$36*'MCDA - REMBRANDT'!Y30^$AZ$37</f>
        <v>4.2506888297856404</v>
      </c>
    </row>
    <row r="35" spans="2:55" x14ac:dyDescent="0.3">
      <c r="C35" s="47" t="s">
        <v>27</v>
      </c>
      <c r="D35" s="2">
        <f>'MCDA - Social'!J27</f>
        <v>0</v>
      </c>
      <c r="E35" s="2">
        <f>'MCDA - Social'!K27</f>
        <v>2</v>
      </c>
      <c r="F35" s="2">
        <f>'MCDA - Social'!L27</f>
        <v>4</v>
      </c>
      <c r="G35" s="2">
        <f>'MCDA - Social'!M27</f>
        <v>6</v>
      </c>
      <c r="I35" t="s">
        <v>27</v>
      </c>
      <c r="J35">
        <f>EXP((LN(1)*+D35))</f>
        <v>1</v>
      </c>
      <c r="K35">
        <f t="shared" ref="K35:M35" si="147">EXP((LN(1)*+E35))</f>
        <v>1</v>
      </c>
      <c r="L35">
        <f t="shared" si="147"/>
        <v>1</v>
      </c>
      <c r="M35">
        <f t="shared" si="147"/>
        <v>1</v>
      </c>
      <c r="N35" s="68">
        <f t="shared" si="9"/>
        <v>1</v>
      </c>
      <c r="P35" t="s">
        <v>27</v>
      </c>
      <c r="Q35">
        <f>EXP((LN(1.7)*+D35))</f>
        <v>1</v>
      </c>
      <c r="R35">
        <f t="shared" ref="R35:T35" si="148">EXP((LN(1.7)*+E35))</f>
        <v>2.8899999999999997</v>
      </c>
      <c r="S35">
        <f t="shared" si="148"/>
        <v>8.3521000000000001</v>
      </c>
      <c r="T35">
        <f t="shared" si="148"/>
        <v>24.137569000000003</v>
      </c>
      <c r="U35" s="68">
        <f t="shared" ref="U35:U38" si="149">GEOMEAN(Q35:T35)</f>
        <v>4.9130000000000003</v>
      </c>
      <c r="W35" t="s">
        <v>27</v>
      </c>
      <c r="X35">
        <f>EXP((LN(2)*+D35))</f>
        <v>1</v>
      </c>
      <c r="Y35">
        <f t="shared" ref="Y35:AA35" si="150">EXP((LN(2)*+E35))</f>
        <v>4</v>
      </c>
      <c r="Z35">
        <f t="shared" si="150"/>
        <v>15.999999999999998</v>
      </c>
      <c r="AA35">
        <f t="shared" si="150"/>
        <v>63.999999999999979</v>
      </c>
      <c r="AB35" s="68">
        <f t="shared" ref="AB35:AB38" si="151">GEOMEAN(X35:AA35)</f>
        <v>7.9999999999999991</v>
      </c>
      <c r="AD35" t="s">
        <v>27</v>
      </c>
      <c r="AE35">
        <f>EXP((LN(2.7)*+D35))</f>
        <v>1</v>
      </c>
      <c r="AF35">
        <f t="shared" ref="AF35:AH35" si="152">EXP((LN(2.7)*+E35))</f>
        <v>7.2900000000000009</v>
      </c>
      <c r="AG35">
        <f t="shared" si="152"/>
        <v>53.144100000000009</v>
      </c>
      <c r="AH35">
        <f t="shared" si="152"/>
        <v>387.42048900000032</v>
      </c>
      <c r="AI35" s="68">
        <f t="shared" ref="AI35:AI38" si="153">GEOMEAN(AE35:AH35)</f>
        <v>19.683000000000003</v>
      </c>
      <c r="AS35" s="2">
        <f t="shared" si="139"/>
        <v>5.0805263425290841E-2</v>
      </c>
      <c r="AT35" s="2">
        <f t="shared" si="140"/>
        <v>0.13717421124828527</v>
      </c>
      <c r="AU35" s="2">
        <f t="shared" si="141"/>
        <v>0.37037037037037029</v>
      </c>
      <c r="AV35" s="2">
        <f t="shared" si="142"/>
        <v>1</v>
      </c>
      <c r="AW35" s="2">
        <f t="shared" si="143"/>
        <v>2.7000000000000006</v>
      </c>
      <c r="AX35" s="2">
        <f t="shared" si="144"/>
        <v>2.7000000000000006</v>
      </c>
      <c r="AY35" s="62">
        <f t="shared" si="145"/>
        <v>0.51573209262364206</v>
      </c>
      <c r="AZ35" s="2">
        <f t="shared" si="146"/>
        <v>4.1023375697150158E-2</v>
      </c>
      <c r="BB35" t="s">
        <v>36</v>
      </c>
      <c r="BC35">
        <f>'MCDA - REMBRANDT'!AU13^$AZ$32*'MCDA - REMBRANDT'!AU31^$AZ$33*'MCDA - REMBRANDT'!AJ13^$AZ$34*'MCDA - REMBRANDT'!AJ31^$AZ$35*'MCDA - REMBRANDT'!Y13^$AZ$36*'MCDA - REMBRANDT'!Y31^$AZ$37</f>
        <v>5.588968910654005</v>
      </c>
    </row>
    <row r="36" spans="2:55" x14ac:dyDescent="0.3">
      <c r="C36" s="47" t="s">
        <v>30</v>
      </c>
      <c r="D36" s="2">
        <f>'MCDA - Social'!J28</f>
        <v>-2</v>
      </c>
      <c r="E36" s="2">
        <f>'MCDA - Social'!K28</f>
        <v>0</v>
      </c>
      <c r="F36" s="2">
        <f>'MCDA - Social'!L28</f>
        <v>4</v>
      </c>
      <c r="G36" s="2">
        <f>'MCDA - Social'!M28</f>
        <v>6</v>
      </c>
      <c r="I36" t="s">
        <v>30</v>
      </c>
      <c r="J36">
        <f t="shared" ref="J36:J38" si="154">EXP((LN(1)*+D36))</f>
        <v>1</v>
      </c>
      <c r="K36">
        <f t="shared" ref="K36:K38" si="155">EXP((LN(1)*+E36))</f>
        <v>1</v>
      </c>
      <c r="L36">
        <f t="shared" ref="L36:L38" si="156">EXP((LN(1)*+F36))</f>
        <v>1</v>
      </c>
      <c r="M36">
        <f t="shared" ref="M36:M38" si="157">EXP((LN(1)*+G36))</f>
        <v>1</v>
      </c>
      <c r="N36" s="68">
        <f t="shared" si="9"/>
        <v>1</v>
      </c>
      <c r="P36" t="s">
        <v>30</v>
      </c>
      <c r="Q36">
        <f t="shared" ref="Q36:Q38" si="158">EXP((LN(1.7)*+D36))</f>
        <v>0.34602076124567477</v>
      </c>
      <c r="R36">
        <f t="shared" ref="R36:R38" si="159">EXP((LN(1.7)*+E36))</f>
        <v>1</v>
      </c>
      <c r="S36">
        <f t="shared" ref="S36:S38" si="160">EXP((LN(1.7)*+F36))</f>
        <v>8.3521000000000001</v>
      </c>
      <c r="T36">
        <f t="shared" ref="T36:T38" si="161">EXP((LN(1.7)*+G36))</f>
        <v>24.137569000000003</v>
      </c>
      <c r="U36" s="68">
        <f t="shared" si="149"/>
        <v>2.89</v>
      </c>
      <c r="W36" t="s">
        <v>30</v>
      </c>
      <c r="X36">
        <f t="shared" ref="X36:X38" si="162">EXP((LN(2)*+D36))</f>
        <v>0.25</v>
      </c>
      <c r="Y36">
        <f t="shared" ref="Y36:Y38" si="163">EXP((LN(2)*+E36))</f>
        <v>1</v>
      </c>
      <c r="Z36">
        <f t="shared" ref="Z36:Z38" si="164">EXP((LN(2)*+F36))</f>
        <v>15.999999999999998</v>
      </c>
      <c r="AA36">
        <f t="shared" ref="AA36:AA38" si="165">EXP((LN(2)*+G36))</f>
        <v>63.999999999999979</v>
      </c>
      <c r="AB36" s="68">
        <f t="shared" si="151"/>
        <v>3.9999999999999996</v>
      </c>
      <c r="AD36" t="s">
        <v>30</v>
      </c>
      <c r="AE36">
        <f t="shared" ref="AE36:AE38" si="166">EXP((LN(2.7)*+D36))</f>
        <v>0.1371742112482853</v>
      </c>
      <c r="AF36">
        <f t="shared" ref="AF36:AF38" si="167">EXP((LN(2.7)*+E36))</f>
        <v>1</v>
      </c>
      <c r="AG36">
        <f t="shared" ref="AG36:AG38" si="168">EXP((LN(2.7)*+F36))</f>
        <v>53.144100000000009</v>
      </c>
      <c r="AH36">
        <f t="shared" ref="AH36:AH38" si="169">EXP((LN(2.7)*+G36))</f>
        <v>387.42048900000032</v>
      </c>
      <c r="AI36" s="68">
        <f t="shared" si="153"/>
        <v>7.2900000000000018</v>
      </c>
      <c r="AS36" s="2">
        <f t="shared" si="139"/>
        <v>5.0805263425290841E-2</v>
      </c>
      <c r="AT36" s="2">
        <f t="shared" si="140"/>
        <v>0.13717421124828527</v>
      </c>
      <c r="AU36" s="2">
        <f t="shared" si="141"/>
        <v>0.37037037037037029</v>
      </c>
      <c r="AV36" s="2">
        <f t="shared" si="142"/>
        <v>0.37037037037037029</v>
      </c>
      <c r="AW36" s="2">
        <f t="shared" si="143"/>
        <v>1</v>
      </c>
      <c r="AX36" s="2">
        <f t="shared" si="144"/>
        <v>1</v>
      </c>
      <c r="AY36" s="62">
        <f t="shared" si="145"/>
        <v>0.31386455639923599</v>
      </c>
      <c r="AZ36" s="2">
        <f t="shared" si="146"/>
        <v>2.4966031393709287E-2</v>
      </c>
    </row>
    <row r="37" spans="2:55" x14ac:dyDescent="0.3">
      <c r="C37" s="47" t="s">
        <v>35</v>
      </c>
      <c r="D37" s="2">
        <f>'MCDA - Social'!J29</f>
        <v>-4</v>
      </c>
      <c r="E37" s="2">
        <f>'MCDA - Social'!K29</f>
        <v>-4</v>
      </c>
      <c r="F37" s="2">
        <f>'MCDA - Social'!L29</f>
        <v>0</v>
      </c>
      <c r="G37" s="2">
        <f>'MCDA - Social'!M29</f>
        <v>6</v>
      </c>
      <c r="I37" t="s">
        <v>35</v>
      </c>
      <c r="J37">
        <f t="shared" si="154"/>
        <v>1</v>
      </c>
      <c r="K37">
        <f t="shared" si="155"/>
        <v>1</v>
      </c>
      <c r="L37">
        <f t="shared" si="156"/>
        <v>1</v>
      </c>
      <c r="M37">
        <f t="shared" si="157"/>
        <v>1</v>
      </c>
      <c r="N37" s="68">
        <f t="shared" si="9"/>
        <v>1</v>
      </c>
      <c r="P37" t="s">
        <v>35</v>
      </c>
      <c r="Q37">
        <f t="shared" si="158"/>
        <v>0.11973036721303625</v>
      </c>
      <c r="R37">
        <f t="shared" si="159"/>
        <v>0.11973036721303625</v>
      </c>
      <c r="S37">
        <f t="shared" si="160"/>
        <v>1</v>
      </c>
      <c r="T37">
        <f t="shared" si="161"/>
        <v>24.137569000000003</v>
      </c>
      <c r="U37" s="68">
        <f t="shared" si="149"/>
        <v>0.76696498884737052</v>
      </c>
      <c r="W37" t="s">
        <v>35</v>
      </c>
      <c r="X37">
        <f t="shared" si="162"/>
        <v>6.25E-2</v>
      </c>
      <c r="Y37">
        <f t="shared" si="163"/>
        <v>6.25E-2</v>
      </c>
      <c r="Z37">
        <f t="shared" si="164"/>
        <v>1</v>
      </c>
      <c r="AA37">
        <f t="shared" si="165"/>
        <v>63.999999999999979</v>
      </c>
      <c r="AB37" s="68">
        <f t="shared" si="151"/>
        <v>0.70710678118654746</v>
      </c>
      <c r="AD37" t="s">
        <v>35</v>
      </c>
      <c r="AE37">
        <f t="shared" si="166"/>
        <v>1.8816764231589202E-2</v>
      </c>
      <c r="AF37">
        <f t="shared" si="167"/>
        <v>1.8816764231589202E-2</v>
      </c>
      <c r="AG37">
        <f t="shared" si="168"/>
        <v>1</v>
      </c>
      <c r="AH37">
        <f t="shared" si="169"/>
        <v>387.42048900000032</v>
      </c>
      <c r="AI37" s="68">
        <f t="shared" si="153"/>
        <v>0.6085806194501846</v>
      </c>
      <c r="AS37" s="2">
        <f t="shared" si="139"/>
        <v>5.0805263425290841E-2</v>
      </c>
      <c r="AT37" s="2">
        <f t="shared" si="140"/>
        <v>5.0805263425290841E-2</v>
      </c>
      <c r="AU37" s="2">
        <f t="shared" si="141"/>
        <v>0.37037037037037029</v>
      </c>
      <c r="AV37" s="2">
        <f t="shared" si="142"/>
        <v>0.37037037037037029</v>
      </c>
      <c r="AW37" s="2">
        <f t="shared" si="143"/>
        <v>1</v>
      </c>
      <c r="AX37" s="2">
        <f t="shared" si="144"/>
        <v>1</v>
      </c>
      <c r="AY37" s="62">
        <f t="shared" si="145"/>
        <v>0.26597959136196092</v>
      </c>
      <c r="AZ37" s="2">
        <f t="shared" si="146"/>
        <v>2.1157071394777113E-2</v>
      </c>
    </row>
    <row r="38" spans="2:55" x14ac:dyDescent="0.3">
      <c r="C38" s="47" t="s">
        <v>36</v>
      </c>
      <c r="D38" s="2">
        <f>'MCDA - Social'!J30</f>
        <v>-6</v>
      </c>
      <c r="E38" s="2">
        <f>'MCDA - Social'!K30</f>
        <v>-6</v>
      </c>
      <c r="F38" s="2">
        <f>'MCDA - Social'!L30</f>
        <v>-6</v>
      </c>
      <c r="G38" s="2">
        <f>'MCDA - Social'!M30</f>
        <v>0</v>
      </c>
      <c r="I38" t="s">
        <v>36</v>
      </c>
      <c r="J38">
        <f t="shared" si="154"/>
        <v>1</v>
      </c>
      <c r="K38">
        <f t="shared" si="155"/>
        <v>1</v>
      </c>
      <c r="L38">
        <f t="shared" si="156"/>
        <v>1</v>
      </c>
      <c r="M38">
        <f t="shared" si="157"/>
        <v>1</v>
      </c>
      <c r="N38" s="68">
        <f t="shared" si="9"/>
        <v>1</v>
      </c>
      <c r="P38" t="s">
        <v>36</v>
      </c>
      <c r="Q38">
        <f t="shared" si="158"/>
        <v>4.1429192807278969E-2</v>
      </c>
      <c r="R38">
        <f t="shared" si="159"/>
        <v>4.1429192807278969E-2</v>
      </c>
      <c r="S38">
        <f t="shared" si="160"/>
        <v>4.1429192807278969E-2</v>
      </c>
      <c r="T38">
        <f t="shared" si="161"/>
        <v>1</v>
      </c>
      <c r="U38" s="68">
        <f t="shared" si="149"/>
        <v>9.1828999754237889E-2</v>
      </c>
      <c r="W38" t="s">
        <v>36</v>
      </c>
      <c r="X38">
        <f t="shared" si="162"/>
        <v>1.5625000000000007E-2</v>
      </c>
      <c r="Y38">
        <f t="shared" si="163"/>
        <v>1.5625000000000007E-2</v>
      </c>
      <c r="Z38">
        <f t="shared" si="164"/>
        <v>1.5625000000000007E-2</v>
      </c>
      <c r="AA38">
        <f t="shared" si="165"/>
        <v>1</v>
      </c>
      <c r="AB38" s="68">
        <f t="shared" si="151"/>
        <v>4.4194173824159237E-2</v>
      </c>
      <c r="AD38" t="s">
        <v>36</v>
      </c>
      <c r="AE38">
        <f t="shared" si="166"/>
        <v>2.5811747917131953E-3</v>
      </c>
      <c r="AF38">
        <f t="shared" si="167"/>
        <v>2.5811747917131953E-3</v>
      </c>
      <c r="AG38">
        <f t="shared" si="168"/>
        <v>2.5811747917131953E-3</v>
      </c>
      <c r="AH38">
        <f t="shared" si="169"/>
        <v>1</v>
      </c>
      <c r="AI38" s="68">
        <f t="shared" si="153"/>
        <v>1.1451518032108629E-2</v>
      </c>
    </row>
    <row r="40" spans="2:55" x14ac:dyDescent="0.3">
      <c r="C40" s="69" t="s">
        <v>246</v>
      </c>
      <c r="D40" s="69">
        <v>1</v>
      </c>
      <c r="E40" s="69">
        <v>1.7</v>
      </c>
      <c r="F40" s="69">
        <v>2</v>
      </c>
      <c r="G40" s="69">
        <v>2.7</v>
      </c>
    </row>
    <row r="41" spans="2:55" x14ac:dyDescent="0.3">
      <c r="C41" s="69" t="s">
        <v>27</v>
      </c>
      <c r="D41" s="2">
        <f>N5^'MCDA - REMBRANDT'!$BK$10*'REMBRANDT Sensitivity Analysis'!N11^'REMBRANDT Sensitivity Analysis'!BK11*'REMBRANDT Sensitivity Analysis'!N17^'MCDA - REMBRANDT'!$BK$12*'REMBRANDT Sensitivity Analysis'!N23^'MCDA - REMBRANDT'!$BK$13*'REMBRANDT Sensitivity Analysis'!N29^'MCDA - REMBRANDT'!$BK$14*'REMBRANDT Sensitivity Analysis'!N35^'MCDA - REMBRANDT'!$BK$15</f>
        <v>1</v>
      </c>
      <c r="E41" s="2">
        <f>U5^'MCDA - REMBRANDT'!$BK$10*U11^'REMBRANDT Sensitivity Analysis'!BL11*U17^'MCDA - REMBRANDT'!$BK$12*U23^'MCDA - REMBRANDT'!$BK$13*U29^'MCDA - REMBRANDT'!$BK$14*U35^'MCDA - REMBRANDT'!$BK$15</f>
        <v>1.0038781174268281</v>
      </c>
      <c r="F41" s="2">
        <f>AB5^'MCDA - REMBRANDT'!$BK$10*AB11^'REMBRANDT Sensitivity Analysis'!BM11*AB17^'MCDA - REMBRANDT'!$BK$12*AB23^'MCDA - REMBRANDT'!$BK$13*AB29^'MCDA - REMBRANDT'!$BK$14*AB35^'MCDA - REMBRANDT'!$BK$15</f>
        <v>1.005068899289788</v>
      </c>
      <c r="G41" s="2">
        <f>AI5^'MCDA - REMBRANDT'!$BK$10*AI11^'REMBRANDT Sensitivity Analysis'!BN11*AI17^'MCDA - REMBRANDT'!$BK$12*AI23^'MCDA - REMBRANDT'!$BK$13*AI29^'MCDA - REMBRANDT'!$BK$14*AI35^'MCDA - REMBRANDT'!$BK$15</f>
        <v>1.0072714896690722</v>
      </c>
    </row>
    <row r="42" spans="2:55" x14ac:dyDescent="0.3">
      <c r="C42" s="69" t="s">
        <v>30</v>
      </c>
      <c r="D42" s="2">
        <f>N6^'MCDA - REMBRANDT'!$BK$10*'REMBRANDT Sensitivity Analysis'!N12^'REMBRANDT Sensitivity Analysis'!BK12*'REMBRANDT Sensitivity Analysis'!N18^'MCDA - REMBRANDT'!$BK$12*'REMBRANDT Sensitivity Analysis'!N24^'MCDA - REMBRANDT'!$BK$13*'REMBRANDT Sensitivity Analysis'!N30^'MCDA - REMBRANDT'!$BK$14*'REMBRANDT Sensitivity Analysis'!N36^'MCDA - REMBRANDT'!$BK$15</f>
        <v>1</v>
      </c>
      <c r="E42" s="2">
        <f>U6^'MCDA - REMBRANDT'!$BK$10*U12^'REMBRANDT Sensitivity Analysis'!BL12*U18^'MCDA - REMBRANDT'!$BK$12*U24^'MCDA - REMBRANDT'!$BK$13*U30^'MCDA - REMBRANDT'!$BK$14*U36^'MCDA - REMBRANDT'!$BK$15</f>
        <v>0.27688400997619134</v>
      </c>
      <c r="F42" s="2">
        <f>AB6^'MCDA - REMBRANDT'!$BK$10*AB12^'REMBRANDT Sensitivity Analysis'!BM12*AB18^'MCDA - REMBRANDT'!$BK$12*AB24^'MCDA - REMBRANDT'!$BK$13*AB30^'MCDA - REMBRANDT'!$BK$14*AB36^'MCDA - REMBRANDT'!$BK$15</f>
        <v>0.1868473131904079</v>
      </c>
      <c r="G42" s="2">
        <f>AI6^'MCDA - REMBRANDT'!$BK$10*AI12^'REMBRANDT Sensitivity Analysis'!BN12*AI18^'MCDA - REMBRANDT'!$BK$12*AI24^'MCDA - REMBRANDT'!$BK$13*AI30^'MCDA - REMBRANDT'!$BK$14*AI36^'MCDA - REMBRANDT'!$BK$15</f>
        <v>9.0379563330848761E-2</v>
      </c>
    </row>
    <row r="43" spans="2:55" x14ac:dyDescent="0.3">
      <c r="C43" s="69" t="s">
        <v>35</v>
      </c>
      <c r="D43" s="2">
        <f>N7^'MCDA - REMBRANDT'!$BK$10*'REMBRANDT Sensitivity Analysis'!N13^'REMBRANDT Sensitivity Analysis'!BK13*'REMBRANDT Sensitivity Analysis'!N19^'MCDA - REMBRANDT'!$BK$12*'REMBRANDT Sensitivity Analysis'!N25^'MCDA - REMBRANDT'!$BK$13*'REMBRANDT Sensitivity Analysis'!N31^'MCDA - REMBRANDT'!$BK$14*'REMBRANDT Sensitivity Analysis'!N37^'MCDA - REMBRANDT'!$BK$15</f>
        <v>1</v>
      </c>
      <c r="E43" s="2">
        <f>U7^'MCDA - REMBRANDT'!$BK$10*U13^'REMBRANDT Sensitivity Analysis'!BL13*U19^'MCDA - REMBRANDT'!$BK$12*U25^'MCDA - REMBRANDT'!$BK$13*U31^'MCDA - REMBRANDT'!$BK$14*U37^'MCDA - REMBRANDT'!$BK$15</f>
        <v>1.7245684109366284</v>
      </c>
      <c r="F43" s="2">
        <f>AB7^'MCDA - REMBRANDT'!$BK$10*AB13^'REMBRANDT Sensitivity Analysis'!BM13*AB19^'MCDA - REMBRANDT'!$BK$12*AB25^'MCDA - REMBRANDT'!$BK$13*AB31^'MCDA - REMBRANDT'!$BK$14*AB37^'MCDA - REMBRANDT'!$BK$15</f>
        <v>2.0378399146096244</v>
      </c>
      <c r="G43" s="2">
        <f>AI7^'MCDA - REMBRANDT'!$BK$10*AI13^'REMBRANDT Sensitivity Analysis'!BN13*AI19^'MCDA - REMBRANDT'!$BK$12*AI25^'MCDA - REMBRANDT'!$BK$13*AI31^'MCDA - REMBRANDT'!$BK$14*AI37^'MCDA - REMBRANDT'!$BK$15</f>
        <v>2.7734998850949362</v>
      </c>
    </row>
    <row r="44" spans="2:55" x14ac:dyDescent="0.3">
      <c r="C44" s="69" t="s">
        <v>36</v>
      </c>
      <c r="D44" s="2">
        <f>N8^'MCDA - REMBRANDT'!$BK$10*'REMBRANDT Sensitivity Analysis'!N14^'REMBRANDT Sensitivity Analysis'!BK14*'REMBRANDT Sensitivity Analysis'!N20^'MCDA - REMBRANDT'!$BK$12*'REMBRANDT Sensitivity Analysis'!N26^'MCDA - REMBRANDT'!$BK$13*'REMBRANDT Sensitivity Analysis'!N32^'MCDA - REMBRANDT'!$BK$14*'REMBRANDT Sensitivity Analysis'!N38^'MCDA - REMBRANDT'!$BK$15</f>
        <v>1</v>
      </c>
      <c r="E44" s="2">
        <f>U8^'MCDA - REMBRANDT'!$BK$10*U14^'REMBRANDT Sensitivity Analysis'!BL14*U20^'MCDA - REMBRANDT'!$BK$12*U26^'MCDA - REMBRANDT'!$BK$13*U32^'MCDA - REMBRANDT'!$BK$14*U38^'MCDA - REMBRANDT'!$BK$15</f>
        <v>2.086126834581858</v>
      </c>
      <c r="F44" s="2">
        <f>AB8^'MCDA - REMBRANDT'!$BK$10*AB14^'REMBRANDT Sensitivity Analysis'!BM14*AB20^'MCDA - REMBRANDT'!$BK$12*AB26^'MCDA - REMBRANDT'!$BK$13*AB32^'MCDA - REMBRANDT'!$BK$14*AB38^'MCDA - REMBRANDT'!$BK$15</f>
        <v>2.6130471362604411</v>
      </c>
      <c r="G44" s="2">
        <f>AI8^'MCDA - REMBRANDT'!$BK$10*AI14^'REMBRANDT Sensitivity Analysis'!BN14*AI20^'MCDA - REMBRANDT'!$BK$12*AI26^'MCDA - REMBRANDT'!$BK$13*AI32^'MCDA - REMBRANDT'!$BK$14*AI38^'MCDA - REMBRANDT'!$BK$15</f>
        <v>3.9605460515070594</v>
      </c>
    </row>
    <row r="61" spans="3:7" x14ac:dyDescent="0.3">
      <c r="C61" s="69" t="s">
        <v>246</v>
      </c>
      <c r="D61" s="69">
        <v>1</v>
      </c>
      <c r="E61" s="69">
        <v>1.7</v>
      </c>
      <c r="F61" s="69">
        <v>2</v>
      </c>
      <c r="G61" s="69">
        <v>2.7</v>
      </c>
    </row>
    <row r="62" spans="3:7" x14ac:dyDescent="0.3">
      <c r="C62" s="69" t="s">
        <v>27</v>
      </c>
      <c r="D62" s="2">
        <f>BC14</f>
        <v>1.6817928305074288</v>
      </c>
      <c r="E62" s="2">
        <f>BC23</f>
        <v>0.94954523916677247</v>
      </c>
      <c r="F62" s="2">
        <f>BC5</f>
        <v>0.84075993230669888</v>
      </c>
      <c r="G62" s="2">
        <f>BC32</f>
        <v>0.72801614141373172</v>
      </c>
    </row>
    <row r="63" spans="3:7" x14ac:dyDescent="0.3">
      <c r="C63" s="69" t="s">
        <v>30</v>
      </c>
      <c r="D63" s="2">
        <f t="shared" ref="D63:D65" si="170">BC15</f>
        <v>0.18728838460958522</v>
      </c>
      <c r="E63" s="2">
        <f t="shared" ref="E63:E65" si="171">BC24</f>
        <v>8.273758297147496E-2</v>
      </c>
      <c r="F63" s="2">
        <f t="shared" ref="F63:F65" si="172">BC6</f>
        <v>7.0001251378517329E-2</v>
      </c>
      <c r="G63" s="2">
        <f t="shared" ref="G63:G65" si="173">BC33</f>
        <v>5.7818654895627208E-2</v>
      </c>
    </row>
    <row r="64" spans="3:7" x14ac:dyDescent="0.3">
      <c r="C64" s="69" t="s">
        <v>35</v>
      </c>
      <c r="D64" s="2">
        <f t="shared" si="170"/>
        <v>3.1748021039363983</v>
      </c>
      <c r="E64" s="2">
        <f t="shared" si="171"/>
        <v>4.0083770837049277</v>
      </c>
      <c r="F64" s="2">
        <f t="shared" si="172"/>
        <v>4.1616483066980363</v>
      </c>
      <c r="G64" s="2">
        <f t="shared" si="173"/>
        <v>4.2506888297856404</v>
      </c>
    </row>
    <row r="65" spans="3:7" x14ac:dyDescent="0.3">
      <c r="C65" s="69" t="s">
        <v>36</v>
      </c>
      <c r="D65" s="2">
        <f t="shared" si="170"/>
        <v>1.0000000000000002</v>
      </c>
      <c r="E65" s="2">
        <f t="shared" si="171"/>
        <v>3.1755060110487756</v>
      </c>
      <c r="F65" s="2">
        <f t="shared" si="172"/>
        <v>4.0827878502045341</v>
      </c>
      <c r="G65" s="2">
        <f t="shared" si="173"/>
        <v>5.588968910654005</v>
      </c>
    </row>
  </sheetData>
  <phoneticPr fontId="8"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8522CF89B26E0845B50B5E1C9A944F9B" ma:contentTypeVersion="3" ma:contentTypeDescription="Opret et nyt dokument." ma:contentTypeScope="" ma:versionID="23a879cf0a333d159d8f84f8e712a1e1">
  <xsd:schema xmlns:xsd="http://www.w3.org/2001/XMLSchema" xmlns:xs="http://www.w3.org/2001/XMLSchema" xmlns:p="http://schemas.microsoft.com/office/2006/metadata/properties" xmlns:ns2="0eac1d08-77e4-473c-b4a7-df754a41795b" targetNamespace="http://schemas.microsoft.com/office/2006/metadata/properties" ma:root="true" ma:fieldsID="1a768f4199b302db9963fd9295d39d46" ns2:_="">
    <xsd:import namespace="0eac1d08-77e4-473c-b4a7-df754a41795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ac1d08-77e4-473c-b4a7-df754a4179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28A3AF1-5424-4981-B91A-FB4BCE83B110}">
  <ds:schemaRefs>
    <ds:schemaRef ds:uri="http://schemas.microsoft.com/sharepoint/v3/contenttype/forms"/>
  </ds:schemaRefs>
</ds:datastoreItem>
</file>

<file path=customXml/itemProps2.xml><?xml version="1.0" encoding="utf-8"?>
<ds:datastoreItem xmlns:ds="http://schemas.openxmlformats.org/officeDocument/2006/customXml" ds:itemID="{BD87445F-464E-49E5-AFF9-C6443C3F98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ac1d08-77e4-473c-b4a7-df754a4179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A648D6-FE77-4D1E-820E-C09132E67465}">
  <ds:schemaRefs>
    <ds:schemaRef ds:uri="http://www.w3.org/XML/1998/namespace"/>
    <ds:schemaRef ds:uri="0eac1d08-77e4-473c-b4a7-df754a41795b"/>
    <ds:schemaRef ds:uri="http://purl.org/dc/dcmitype/"/>
    <ds:schemaRef ds:uri="http://schemas.microsoft.com/office/infopath/2007/PartnerControls"/>
    <ds:schemaRef ds:uri="http://purl.org/dc/elements/1.1/"/>
    <ds:schemaRef ds:uri="http://schemas.microsoft.com/office/2006/documentManagement/types"/>
    <ds:schemaRef ds:uri="http://purl.org/dc/terms/"/>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ELECTRE - Alif</vt:lpstr>
      <vt:lpstr>ELECTRE - Levente</vt:lpstr>
      <vt:lpstr>ELECTRE - Joao</vt:lpstr>
      <vt:lpstr>ELECTRE - Dante</vt:lpstr>
      <vt:lpstr>ELECTRE - Average</vt:lpstr>
      <vt:lpstr>Rank Key</vt:lpstr>
      <vt:lpstr>Electre csv</vt:lpstr>
      <vt:lpstr>Ranking csv</vt:lpstr>
      <vt:lpstr>Outranking Graph Result</vt:lpstr>
      <vt:lpstr>MCDA - AHP</vt:lpstr>
      <vt:lpstr>AHP Vs. REMBRANDT</vt:lpstr>
      <vt:lpstr>MCDA - Environment</vt:lpstr>
      <vt:lpstr>MCDA - Social</vt:lpstr>
      <vt:lpstr>MCDA - Economic</vt:lpstr>
      <vt:lpstr>MCDA - REMBRANDT</vt:lpstr>
      <vt:lpstr>REMBRANDT Sensitivity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Alif Haidar</dc:creator>
  <cp:keywords/>
  <dc:description/>
  <cp:lastModifiedBy>Muhammad Alif Haidar</cp:lastModifiedBy>
  <cp:revision/>
  <dcterms:created xsi:type="dcterms:W3CDTF">2025-09-18T06:20:10Z</dcterms:created>
  <dcterms:modified xsi:type="dcterms:W3CDTF">2025-12-04T10:56:21Z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0x0101008522CF89B26E0845B50B5E1C9A944F9B</vt:lpwstr>
  </property>
</Properties>
</file>